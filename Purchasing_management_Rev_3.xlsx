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e1c4760013b2fa1/Área de Trabalho/"/>
    </mc:Choice>
  </mc:AlternateContent>
  <xr:revisionPtr revIDLastSave="392" documentId="13_ncr:1_{8E75498B-63C8-4616-AFE2-FBAA4B1A976A}" xr6:coauthVersionLast="47" xr6:coauthVersionMax="47" xr10:uidLastSave="{A121DF0F-1A3E-408C-A3C5-6CC6157C1F55}"/>
  <bookViews>
    <workbookView xWindow="-110" yWindow="-110" windowWidth="19420" windowHeight="10300" tabRatio="500" activeTab="1" xr2:uid="{00000000-000D-0000-FFFF-FFFF00000000}"/>
  </bookViews>
  <sheets>
    <sheet name="📋 SEND CLIENT" sheetId="1" r:id="rId1"/>
    <sheet name="📋 ORDERS" sheetId="2" r:id="rId2"/>
    <sheet name="🔍 LOOKUP" sheetId="3" r:id="rId3"/>
    <sheet name="📊 DASHBOARD" sheetId="4" r:id="rId4"/>
    <sheet name="📈 CHARTS" sheetId="5" state="hidden" r:id="rId5"/>
    <sheet name="🔄 STATUS CONTROL" sheetId="6" r:id="rId6"/>
    <sheet name="📅 MONTHLY" sheetId="7" r:id="rId7"/>
    <sheet name="📄 INVOICE CONTROL" sheetId="8" state="hidden" r:id="rId8"/>
  </sheets>
  <definedNames>
    <definedName name="_xlnm._FilterDatabase" localSheetId="1" hidden="1">'📋 ORDERS'!$B$3:$Z$175</definedName>
    <definedName name="_xlnm._FilterDatabase" localSheetId="0" hidden="1">'📋 SEND CLIENT'!$B$7:$H$142</definedName>
    <definedName name="_xlnm.Print_Area" localSheetId="0">'📋 SEND CLIENT'!$A$1:$I$142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7" i="8" l="1"/>
  <c r="I57" i="8"/>
  <c r="H57" i="8"/>
  <c r="G57" i="8"/>
  <c r="F57" i="8"/>
  <c r="E57" i="8"/>
  <c r="D57" i="8"/>
  <c r="C57" i="8"/>
  <c r="B57" i="8"/>
  <c r="J56" i="8"/>
  <c r="I56" i="8"/>
  <c r="H56" i="8"/>
  <c r="G56" i="8"/>
  <c r="F56" i="8"/>
  <c r="E56" i="8"/>
  <c r="D56" i="8"/>
  <c r="C56" i="8"/>
  <c r="B56" i="8"/>
  <c r="J55" i="8"/>
  <c r="I55" i="8"/>
  <c r="H55" i="8"/>
  <c r="G55" i="8"/>
  <c r="F55" i="8"/>
  <c r="E55" i="8"/>
  <c r="D55" i="8"/>
  <c r="C55" i="8"/>
  <c r="B55" i="8"/>
  <c r="J54" i="8"/>
  <c r="I54" i="8"/>
  <c r="H54" i="8"/>
  <c r="G54" i="8"/>
  <c r="F54" i="8"/>
  <c r="E54" i="8"/>
  <c r="D54" i="8"/>
  <c r="C54" i="8"/>
  <c r="B54" i="8"/>
  <c r="J53" i="8"/>
  <c r="I53" i="8"/>
  <c r="H53" i="8"/>
  <c r="G53" i="8"/>
  <c r="F53" i="8"/>
  <c r="E53" i="8"/>
  <c r="D53" i="8"/>
  <c r="C53" i="8"/>
  <c r="B53" i="8"/>
  <c r="J52" i="8"/>
  <c r="I52" i="8"/>
  <c r="H52" i="8"/>
  <c r="G52" i="8"/>
  <c r="F52" i="8"/>
  <c r="E52" i="8"/>
  <c r="D52" i="8"/>
  <c r="C52" i="8"/>
  <c r="B52" i="8"/>
  <c r="J51" i="8"/>
  <c r="I51" i="8"/>
  <c r="H51" i="8"/>
  <c r="G51" i="8"/>
  <c r="F51" i="8"/>
  <c r="E51" i="8"/>
  <c r="D51" i="8"/>
  <c r="C51" i="8"/>
  <c r="B51" i="8"/>
  <c r="J50" i="8"/>
  <c r="I50" i="8"/>
  <c r="H50" i="8"/>
  <c r="G50" i="8"/>
  <c r="F50" i="8"/>
  <c r="E50" i="8"/>
  <c r="D50" i="8"/>
  <c r="C50" i="8"/>
  <c r="B50" i="8"/>
  <c r="J49" i="8"/>
  <c r="I49" i="8"/>
  <c r="H49" i="8"/>
  <c r="G49" i="8"/>
  <c r="F49" i="8"/>
  <c r="E49" i="8"/>
  <c r="D49" i="8"/>
  <c r="C49" i="8"/>
  <c r="B49" i="8"/>
  <c r="J48" i="8"/>
  <c r="I48" i="8"/>
  <c r="H48" i="8"/>
  <c r="G48" i="8"/>
  <c r="F48" i="8"/>
  <c r="E48" i="8"/>
  <c r="D48" i="8"/>
  <c r="C48" i="8"/>
  <c r="B48" i="8"/>
  <c r="J47" i="8"/>
  <c r="I47" i="8"/>
  <c r="H47" i="8"/>
  <c r="G47" i="8"/>
  <c r="F47" i="8"/>
  <c r="E47" i="8"/>
  <c r="D47" i="8"/>
  <c r="C47" i="8"/>
  <c r="B47" i="8"/>
  <c r="J46" i="8"/>
  <c r="I46" i="8"/>
  <c r="H46" i="8"/>
  <c r="G46" i="8"/>
  <c r="F46" i="8"/>
  <c r="E46" i="8"/>
  <c r="D46" i="8"/>
  <c r="C46" i="8"/>
  <c r="B46" i="8"/>
  <c r="J45" i="8"/>
  <c r="I45" i="8"/>
  <c r="H45" i="8"/>
  <c r="G45" i="8"/>
  <c r="F45" i="8"/>
  <c r="E45" i="8"/>
  <c r="D45" i="8"/>
  <c r="C45" i="8"/>
  <c r="B45" i="8"/>
  <c r="J44" i="8"/>
  <c r="I44" i="8"/>
  <c r="H44" i="8"/>
  <c r="G44" i="8"/>
  <c r="F44" i="8"/>
  <c r="E44" i="8"/>
  <c r="D44" i="8"/>
  <c r="C44" i="8"/>
  <c r="B44" i="8"/>
  <c r="J43" i="8"/>
  <c r="I43" i="8"/>
  <c r="H43" i="8"/>
  <c r="G43" i="8"/>
  <c r="F43" i="8"/>
  <c r="E43" i="8"/>
  <c r="D43" i="8"/>
  <c r="C43" i="8"/>
  <c r="B43" i="8"/>
  <c r="J42" i="8"/>
  <c r="I42" i="8"/>
  <c r="H42" i="8"/>
  <c r="G42" i="8"/>
  <c r="F42" i="8"/>
  <c r="E42" i="8"/>
  <c r="D42" i="8"/>
  <c r="C42" i="8"/>
  <c r="B42" i="8"/>
  <c r="J41" i="8"/>
  <c r="I41" i="8"/>
  <c r="H41" i="8"/>
  <c r="G41" i="8"/>
  <c r="F41" i="8"/>
  <c r="E41" i="8"/>
  <c r="D41" i="8"/>
  <c r="C41" i="8"/>
  <c r="B41" i="8"/>
  <c r="J40" i="8"/>
  <c r="I40" i="8"/>
  <c r="H40" i="8"/>
  <c r="G40" i="8"/>
  <c r="F40" i="8"/>
  <c r="E40" i="8"/>
  <c r="D40" i="8"/>
  <c r="C40" i="8"/>
  <c r="B40" i="8"/>
  <c r="J39" i="8"/>
  <c r="I39" i="8"/>
  <c r="H39" i="8"/>
  <c r="G39" i="8"/>
  <c r="F39" i="8"/>
  <c r="E39" i="8"/>
  <c r="D39" i="8"/>
  <c r="C39" i="8"/>
  <c r="B39" i="8"/>
  <c r="J38" i="8"/>
  <c r="I38" i="8"/>
  <c r="H38" i="8"/>
  <c r="G38" i="8"/>
  <c r="F38" i="8"/>
  <c r="E38" i="8"/>
  <c r="D38" i="8"/>
  <c r="C38" i="8"/>
  <c r="B38" i="8"/>
  <c r="J37" i="8"/>
  <c r="I37" i="8"/>
  <c r="H37" i="8"/>
  <c r="G37" i="8"/>
  <c r="F37" i="8"/>
  <c r="E37" i="8"/>
  <c r="D37" i="8"/>
  <c r="C37" i="8"/>
  <c r="B37" i="8"/>
  <c r="J36" i="8"/>
  <c r="I36" i="8"/>
  <c r="H36" i="8"/>
  <c r="G36" i="8"/>
  <c r="F36" i="8"/>
  <c r="E36" i="8"/>
  <c r="D36" i="8"/>
  <c r="C36" i="8"/>
  <c r="B36" i="8"/>
  <c r="J35" i="8"/>
  <c r="I35" i="8"/>
  <c r="H35" i="8"/>
  <c r="G35" i="8"/>
  <c r="F35" i="8"/>
  <c r="E35" i="8"/>
  <c r="D35" i="8"/>
  <c r="C35" i="8"/>
  <c r="B35" i="8"/>
  <c r="J34" i="8"/>
  <c r="I34" i="8"/>
  <c r="H34" i="8"/>
  <c r="G34" i="8"/>
  <c r="F34" i="8"/>
  <c r="E34" i="8"/>
  <c r="D34" i="8"/>
  <c r="C34" i="8"/>
  <c r="B34" i="8"/>
  <c r="J33" i="8"/>
  <c r="I33" i="8"/>
  <c r="H33" i="8"/>
  <c r="G33" i="8"/>
  <c r="F33" i="8"/>
  <c r="E33" i="8"/>
  <c r="D33" i="8"/>
  <c r="C33" i="8"/>
  <c r="B33" i="8"/>
  <c r="J32" i="8"/>
  <c r="I32" i="8"/>
  <c r="H32" i="8"/>
  <c r="G32" i="8"/>
  <c r="F32" i="8"/>
  <c r="E32" i="8"/>
  <c r="D32" i="8"/>
  <c r="C32" i="8"/>
  <c r="B32" i="8"/>
  <c r="J31" i="8"/>
  <c r="I31" i="8"/>
  <c r="H31" i="8"/>
  <c r="G31" i="8"/>
  <c r="F31" i="8"/>
  <c r="E31" i="8"/>
  <c r="D31" i="8"/>
  <c r="C31" i="8"/>
  <c r="B31" i="8"/>
  <c r="J30" i="8"/>
  <c r="I30" i="8"/>
  <c r="H30" i="8"/>
  <c r="G30" i="8"/>
  <c r="F30" i="8"/>
  <c r="E30" i="8"/>
  <c r="D30" i="8"/>
  <c r="C30" i="8"/>
  <c r="B30" i="8"/>
  <c r="J29" i="8"/>
  <c r="I29" i="8"/>
  <c r="H29" i="8"/>
  <c r="G29" i="8"/>
  <c r="F29" i="8"/>
  <c r="E29" i="8"/>
  <c r="D29" i="8"/>
  <c r="C29" i="8"/>
  <c r="B29" i="8"/>
  <c r="J28" i="8"/>
  <c r="I28" i="8"/>
  <c r="H28" i="8"/>
  <c r="G28" i="8"/>
  <c r="F28" i="8"/>
  <c r="E28" i="8"/>
  <c r="J27" i="8"/>
  <c r="I27" i="8"/>
  <c r="H27" i="8"/>
  <c r="G27" i="8"/>
  <c r="F27" i="8"/>
  <c r="D27" i="8"/>
  <c r="C27" i="8"/>
  <c r="B27" i="8"/>
  <c r="J26" i="8"/>
  <c r="I26" i="8"/>
  <c r="H26" i="8"/>
  <c r="G26" i="8"/>
  <c r="F26" i="8"/>
  <c r="D26" i="8"/>
  <c r="C26" i="8"/>
  <c r="B26" i="8"/>
  <c r="J25" i="8"/>
  <c r="I25" i="8"/>
  <c r="H25" i="8"/>
  <c r="G25" i="8"/>
  <c r="F25" i="8"/>
  <c r="D25" i="8"/>
  <c r="C25" i="8"/>
  <c r="B25" i="8"/>
  <c r="J24" i="8"/>
  <c r="I24" i="8"/>
  <c r="H24" i="8"/>
  <c r="G24" i="8"/>
  <c r="F24" i="8"/>
  <c r="D24" i="8"/>
  <c r="C24" i="8"/>
  <c r="B24" i="8"/>
  <c r="J23" i="8"/>
  <c r="I23" i="8"/>
  <c r="H23" i="8"/>
  <c r="G23" i="8"/>
  <c r="F23" i="8"/>
  <c r="D23" i="8"/>
  <c r="C23" i="8"/>
  <c r="B23" i="8"/>
  <c r="J22" i="8"/>
  <c r="I22" i="8"/>
  <c r="H22" i="8"/>
  <c r="G22" i="8"/>
  <c r="F22" i="8"/>
  <c r="D22" i="8"/>
  <c r="C22" i="8"/>
  <c r="B22" i="8"/>
  <c r="J21" i="8"/>
  <c r="I21" i="8"/>
  <c r="H21" i="8"/>
  <c r="G21" i="8"/>
  <c r="F21" i="8"/>
  <c r="D21" i="8"/>
  <c r="C21" i="8"/>
  <c r="B21" i="8"/>
  <c r="J20" i="8"/>
  <c r="I20" i="8"/>
  <c r="H20" i="8"/>
  <c r="G20" i="8"/>
  <c r="F20" i="8"/>
  <c r="D20" i="8"/>
  <c r="C20" i="8"/>
  <c r="B20" i="8"/>
  <c r="J19" i="8"/>
  <c r="I19" i="8"/>
  <c r="H19" i="8"/>
  <c r="G19" i="8"/>
  <c r="F19" i="8"/>
  <c r="D19" i="8"/>
  <c r="C19" i="8"/>
  <c r="B19" i="8"/>
  <c r="J18" i="8"/>
  <c r="I18" i="8"/>
  <c r="H18" i="8"/>
  <c r="G18" i="8"/>
  <c r="F18" i="8"/>
  <c r="D18" i="8"/>
  <c r="C18" i="8"/>
  <c r="B18" i="8"/>
  <c r="J17" i="8"/>
  <c r="I17" i="8"/>
  <c r="H17" i="8"/>
  <c r="G17" i="8"/>
  <c r="F17" i="8"/>
  <c r="D17" i="8"/>
  <c r="C17" i="8"/>
  <c r="B17" i="8"/>
  <c r="J16" i="8"/>
  <c r="I16" i="8"/>
  <c r="H16" i="8"/>
  <c r="G16" i="8"/>
  <c r="F16" i="8"/>
  <c r="D16" i="8"/>
  <c r="C16" i="8"/>
  <c r="B16" i="8"/>
  <c r="J15" i="8"/>
  <c r="I15" i="8"/>
  <c r="H15" i="8"/>
  <c r="G15" i="8"/>
  <c r="F15" i="8"/>
  <c r="D15" i="8"/>
  <c r="C15" i="8"/>
  <c r="B15" i="8"/>
  <c r="J14" i="8"/>
  <c r="I14" i="8"/>
  <c r="H14" i="8"/>
  <c r="G14" i="8"/>
  <c r="F14" i="8"/>
  <c r="D14" i="8"/>
  <c r="C14" i="8"/>
  <c r="B14" i="8"/>
  <c r="J13" i="8"/>
  <c r="I13" i="8"/>
  <c r="H13" i="8"/>
  <c r="G13" i="8"/>
  <c r="F13" i="8"/>
  <c r="D13" i="8"/>
  <c r="C13" i="8"/>
  <c r="B13" i="8"/>
  <c r="J12" i="8"/>
  <c r="I12" i="8"/>
  <c r="H12" i="8"/>
  <c r="G12" i="8"/>
  <c r="F12" i="8"/>
  <c r="D12" i="8"/>
  <c r="C12" i="8"/>
  <c r="B12" i="8"/>
  <c r="J11" i="8"/>
  <c r="I11" i="8"/>
  <c r="H11" i="8"/>
  <c r="G11" i="8"/>
  <c r="F11" i="8"/>
  <c r="D11" i="8"/>
  <c r="C11" i="8"/>
  <c r="B11" i="8"/>
  <c r="J10" i="8"/>
  <c r="I10" i="8"/>
  <c r="H10" i="8"/>
  <c r="G10" i="8"/>
  <c r="F10" i="8"/>
  <c r="D10" i="8"/>
  <c r="C10" i="8"/>
  <c r="B10" i="8"/>
  <c r="J9" i="8"/>
  <c r="I9" i="8"/>
  <c r="H9" i="8"/>
  <c r="G9" i="8"/>
  <c r="F9" i="8"/>
  <c r="D9" i="8"/>
  <c r="C9" i="8"/>
  <c r="B9" i="8"/>
  <c r="J8" i="8"/>
  <c r="I8" i="8"/>
  <c r="H8" i="8"/>
  <c r="G8" i="8"/>
  <c r="F8" i="8"/>
  <c r="D8" i="8"/>
  <c r="C8" i="8"/>
  <c r="B8" i="8"/>
  <c r="J7" i="8"/>
  <c r="I7" i="8"/>
  <c r="H7" i="8"/>
  <c r="G7" i="8"/>
  <c r="F7" i="8"/>
  <c r="D7" i="8"/>
  <c r="C7" i="8"/>
  <c r="B7" i="8"/>
  <c r="J6" i="8"/>
  <c r="I6" i="8"/>
  <c r="H6" i="8"/>
  <c r="G6" i="8"/>
  <c r="F6" i="8"/>
  <c r="D6" i="8"/>
  <c r="C6" i="8"/>
  <c r="B6" i="8"/>
  <c r="J5" i="8"/>
  <c r="I5" i="8"/>
  <c r="H5" i="8"/>
  <c r="G5" i="8"/>
  <c r="F5" i="8"/>
  <c r="D5" i="8"/>
  <c r="C5" i="8"/>
  <c r="B5" i="8"/>
  <c r="J4" i="8"/>
  <c r="I4" i="8"/>
  <c r="H4" i="8"/>
  <c r="G4" i="8"/>
  <c r="F4" i="8"/>
  <c r="D4" i="8"/>
  <c r="C4" i="8"/>
  <c r="B4" i="8"/>
  <c r="I15" i="7"/>
  <c r="G15" i="7"/>
  <c r="F15" i="7"/>
  <c r="E15" i="7"/>
  <c r="D15" i="7"/>
  <c r="A15" i="7"/>
  <c r="I14" i="7"/>
  <c r="G14" i="7"/>
  <c r="F14" i="7"/>
  <c r="E14" i="7"/>
  <c r="D14" i="7"/>
  <c r="A14" i="7"/>
  <c r="I13" i="7"/>
  <c r="G13" i="7"/>
  <c r="F13" i="7"/>
  <c r="E13" i="7"/>
  <c r="D13" i="7"/>
  <c r="A13" i="7"/>
  <c r="I12" i="7"/>
  <c r="G12" i="7"/>
  <c r="F12" i="7"/>
  <c r="E12" i="7"/>
  <c r="D12" i="7"/>
  <c r="A12" i="7"/>
  <c r="I11" i="7"/>
  <c r="G11" i="7"/>
  <c r="F11" i="7"/>
  <c r="E11" i="7"/>
  <c r="D11" i="7"/>
  <c r="A11" i="7"/>
  <c r="G10" i="7"/>
  <c r="F10" i="7"/>
  <c r="E10" i="7"/>
  <c r="D10" i="7"/>
  <c r="A10" i="7"/>
  <c r="F9" i="7"/>
  <c r="E9" i="7"/>
  <c r="D9" i="7"/>
  <c r="A9" i="7"/>
  <c r="F8" i="7"/>
  <c r="E8" i="7"/>
  <c r="D8" i="7"/>
  <c r="A8" i="7"/>
  <c r="F7" i="7"/>
  <c r="E7" i="7"/>
  <c r="D7" i="7"/>
  <c r="A7" i="7"/>
  <c r="F6" i="7"/>
  <c r="E6" i="7"/>
  <c r="D6" i="7"/>
  <c r="A6" i="7"/>
  <c r="F5" i="7"/>
  <c r="E5" i="7"/>
  <c r="D5" i="7"/>
  <c r="A5" i="7"/>
  <c r="J13" i="6"/>
  <c r="I13" i="6"/>
  <c r="H13" i="6"/>
  <c r="G13" i="6"/>
  <c r="F13" i="6"/>
  <c r="E13" i="6"/>
  <c r="D13" i="6"/>
  <c r="C13" i="6"/>
  <c r="J12" i="6"/>
  <c r="I12" i="6"/>
  <c r="H12" i="6"/>
  <c r="G12" i="6"/>
  <c r="F12" i="6"/>
  <c r="E12" i="6"/>
  <c r="D12" i="6"/>
  <c r="C12" i="6"/>
  <c r="J11" i="6"/>
  <c r="I11" i="6"/>
  <c r="H11" i="6"/>
  <c r="G11" i="6"/>
  <c r="F11" i="6"/>
  <c r="E11" i="6"/>
  <c r="D11" i="6"/>
  <c r="C11" i="6"/>
  <c r="J10" i="6"/>
  <c r="I10" i="6"/>
  <c r="H10" i="6"/>
  <c r="G10" i="6"/>
  <c r="F10" i="6"/>
  <c r="E10" i="6"/>
  <c r="D10" i="6"/>
  <c r="C10" i="6"/>
  <c r="J9" i="6"/>
  <c r="I9" i="6"/>
  <c r="H9" i="6"/>
  <c r="G9" i="6"/>
  <c r="F9" i="6"/>
  <c r="E9" i="6"/>
  <c r="D9" i="6"/>
  <c r="C9" i="6"/>
  <c r="J8" i="6"/>
  <c r="I8" i="6"/>
  <c r="H8" i="6"/>
  <c r="G8" i="6"/>
  <c r="F8" i="6"/>
  <c r="E8" i="6"/>
  <c r="D8" i="6"/>
  <c r="C8" i="6"/>
  <c r="J7" i="6"/>
  <c r="I7" i="6"/>
  <c r="H7" i="6"/>
  <c r="G7" i="6"/>
  <c r="F7" i="6"/>
  <c r="E7" i="6"/>
  <c r="D7" i="6"/>
  <c r="C7" i="6"/>
  <c r="J6" i="6"/>
  <c r="I6" i="6"/>
  <c r="H6" i="6"/>
  <c r="G6" i="6"/>
  <c r="F6" i="6"/>
  <c r="E6" i="6"/>
  <c r="D6" i="6"/>
  <c r="C6" i="6"/>
  <c r="J5" i="6"/>
  <c r="I5" i="6"/>
  <c r="G5" i="6"/>
  <c r="F5" i="6"/>
  <c r="E5" i="6"/>
  <c r="D5" i="6"/>
  <c r="C5" i="6"/>
  <c r="L5" i="5"/>
  <c r="J5" i="5"/>
  <c r="H5" i="5"/>
  <c r="F5" i="5"/>
  <c r="D5" i="5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48" i="4"/>
  <c r="C48" i="4"/>
  <c r="E47" i="4"/>
  <c r="D47" i="4"/>
  <c r="C47" i="4"/>
  <c r="E46" i="4"/>
  <c r="D46" i="4"/>
  <c r="C46" i="4"/>
  <c r="E45" i="4"/>
  <c r="D45" i="4"/>
  <c r="C45" i="4"/>
  <c r="D44" i="4"/>
  <c r="C44" i="4"/>
  <c r="D43" i="4"/>
  <c r="C43" i="4"/>
  <c r="E42" i="4"/>
  <c r="D42" i="4"/>
  <c r="C42" i="4"/>
  <c r="F38" i="4"/>
  <c r="E38" i="4"/>
  <c r="D38" i="4"/>
  <c r="C38" i="4"/>
  <c r="E37" i="4"/>
  <c r="D37" i="4"/>
  <c r="C37" i="4"/>
  <c r="I33" i="4"/>
  <c r="H33" i="4"/>
  <c r="G33" i="4"/>
  <c r="F33" i="4"/>
  <c r="E33" i="4"/>
  <c r="D33" i="4"/>
  <c r="I32" i="4"/>
  <c r="H32" i="4"/>
  <c r="G32" i="4"/>
  <c r="F32" i="4"/>
  <c r="E32" i="4"/>
  <c r="D32" i="4"/>
  <c r="I31" i="4"/>
  <c r="H31" i="4"/>
  <c r="G31" i="4"/>
  <c r="F31" i="4"/>
  <c r="E31" i="4"/>
  <c r="D31" i="4"/>
  <c r="I30" i="4"/>
  <c r="H30" i="4"/>
  <c r="G30" i="4"/>
  <c r="F30" i="4"/>
  <c r="E30" i="4"/>
  <c r="D30" i="4"/>
  <c r="I25" i="4"/>
  <c r="H25" i="4"/>
  <c r="G25" i="4"/>
  <c r="F25" i="4"/>
  <c r="E25" i="4"/>
  <c r="D25" i="4"/>
  <c r="I24" i="4"/>
  <c r="H24" i="4"/>
  <c r="G24" i="4"/>
  <c r="F24" i="4"/>
  <c r="E24" i="4"/>
  <c r="D24" i="4"/>
  <c r="I23" i="4"/>
  <c r="H23" i="4"/>
  <c r="G23" i="4"/>
  <c r="F23" i="4"/>
  <c r="E23" i="4"/>
  <c r="D23" i="4"/>
  <c r="I22" i="4"/>
  <c r="H22" i="4"/>
  <c r="G22" i="4"/>
  <c r="F22" i="4"/>
  <c r="E22" i="4"/>
  <c r="D22" i="4"/>
  <c r="I21" i="4"/>
  <c r="H21" i="4"/>
  <c r="G21" i="4"/>
  <c r="F21" i="4"/>
  <c r="E21" i="4"/>
  <c r="D21" i="4"/>
  <c r="I20" i="4"/>
  <c r="H20" i="4"/>
  <c r="G20" i="4"/>
  <c r="F20" i="4"/>
  <c r="E20" i="4"/>
  <c r="D20" i="4"/>
  <c r="I19" i="4"/>
  <c r="H19" i="4"/>
  <c r="G19" i="4"/>
  <c r="F19" i="4"/>
  <c r="E19" i="4"/>
  <c r="D19" i="4"/>
  <c r="I18" i="4"/>
  <c r="G18" i="4"/>
  <c r="F18" i="4"/>
  <c r="E18" i="4"/>
  <c r="D18" i="4"/>
  <c r="I17" i="4"/>
  <c r="G17" i="4"/>
  <c r="F17" i="4"/>
  <c r="E17" i="4"/>
  <c r="D17" i="4"/>
  <c r="H12" i="4"/>
  <c r="F12" i="4"/>
  <c r="D12" i="4"/>
  <c r="B12" i="4"/>
  <c r="L5" i="4"/>
  <c r="J5" i="4"/>
  <c r="F5" i="4"/>
  <c r="D5" i="4"/>
  <c r="J62" i="3"/>
  <c r="I62" i="3"/>
  <c r="H62" i="3"/>
  <c r="G62" i="3"/>
  <c r="F62" i="3"/>
  <c r="D62" i="3"/>
  <c r="C62" i="3"/>
  <c r="B62" i="3"/>
  <c r="J61" i="3"/>
  <c r="I61" i="3"/>
  <c r="H61" i="3"/>
  <c r="G61" i="3"/>
  <c r="F61" i="3"/>
  <c r="D61" i="3"/>
  <c r="C61" i="3"/>
  <c r="B61" i="3"/>
  <c r="J60" i="3"/>
  <c r="I60" i="3"/>
  <c r="H60" i="3"/>
  <c r="G60" i="3"/>
  <c r="F60" i="3"/>
  <c r="D60" i="3"/>
  <c r="C60" i="3"/>
  <c r="B60" i="3"/>
  <c r="J59" i="3"/>
  <c r="I59" i="3"/>
  <c r="H59" i="3"/>
  <c r="G59" i="3"/>
  <c r="F59" i="3"/>
  <c r="D59" i="3"/>
  <c r="C59" i="3"/>
  <c r="B59" i="3"/>
  <c r="J58" i="3"/>
  <c r="I58" i="3"/>
  <c r="H58" i="3"/>
  <c r="G58" i="3"/>
  <c r="F58" i="3"/>
  <c r="D58" i="3"/>
  <c r="C58" i="3"/>
  <c r="B58" i="3"/>
  <c r="J57" i="3"/>
  <c r="I57" i="3"/>
  <c r="H57" i="3"/>
  <c r="G57" i="3"/>
  <c r="F57" i="3"/>
  <c r="D57" i="3"/>
  <c r="C57" i="3"/>
  <c r="B57" i="3"/>
  <c r="J56" i="3"/>
  <c r="I56" i="3"/>
  <c r="H56" i="3"/>
  <c r="G56" i="3"/>
  <c r="F56" i="3"/>
  <c r="D56" i="3"/>
  <c r="C56" i="3"/>
  <c r="B56" i="3"/>
  <c r="J55" i="3"/>
  <c r="I55" i="3"/>
  <c r="H55" i="3"/>
  <c r="G55" i="3"/>
  <c r="F55" i="3"/>
  <c r="D55" i="3"/>
  <c r="C55" i="3"/>
  <c r="B55" i="3"/>
  <c r="J54" i="3"/>
  <c r="I54" i="3"/>
  <c r="H54" i="3"/>
  <c r="G54" i="3"/>
  <c r="F54" i="3"/>
  <c r="D54" i="3"/>
  <c r="C54" i="3"/>
  <c r="B54" i="3"/>
  <c r="J53" i="3"/>
  <c r="I53" i="3"/>
  <c r="H53" i="3"/>
  <c r="G53" i="3"/>
  <c r="F53" i="3"/>
  <c r="D53" i="3"/>
  <c r="C53" i="3"/>
  <c r="B53" i="3"/>
  <c r="J52" i="3"/>
  <c r="I52" i="3"/>
  <c r="H52" i="3"/>
  <c r="G52" i="3"/>
  <c r="F52" i="3"/>
  <c r="D52" i="3"/>
  <c r="C52" i="3"/>
  <c r="B52" i="3"/>
  <c r="J51" i="3"/>
  <c r="I51" i="3"/>
  <c r="H51" i="3"/>
  <c r="G51" i="3"/>
  <c r="F51" i="3"/>
  <c r="D51" i="3"/>
  <c r="C51" i="3"/>
  <c r="B51" i="3"/>
  <c r="J50" i="3"/>
  <c r="I50" i="3"/>
  <c r="H50" i="3"/>
  <c r="G50" i="3"/>
  <c r="F50" i="3"/>
  <c r="D50" i="3"/>
  <c r="C50" i="3"/>
  <c r="B50" i="3"/>
  <c r="J49" i="3"/>
  <c r="I49" i="3"/>
  <c r="H49" i="3"/>
  <c r="G49" i="3"/>
  <c r="F49" i="3"/>
  <c r="D49" i="3"/>
  <c r="C49" i="3"/>
  <c r="B49" i="3"/>
  <c r="J48" i="3"/>
  <c r="I48" i="3"/>
  <c r="H48" i="3"/>
  <c r="G48" i="3"/>
  <c r="F48" i="3"/>
  <c r="D48" i="3"/>
  <c r="C48" i="3"/>
  <c r="B48" i="3"/>
  <c r="J47" i="3"/>
  <c r="I47" i="3"/>
  <c r="H47" i="3"/>
  <c r="G47" i="3"/>
  <c r="F47" i="3"/>
  <c r="D47" i="3"/>
  <c r="C47" i="3"/>
  <c r="B47" i="3"/>
  <c r="J46" i="3"/>
  <c r="I46" i="3"/>
  <c r="H46" i="3"/>
  <c r="G46" i="3"/>
  <c r="F46" i="3"/>
  <c r="D46" i="3"/>
  <c r="C46" i="3"/>
  <c r="B46" i="3"/>
  <c r="J45" i="3"/>
  <c r="I45" i="3"/>
  <c r="H45" i="3"/>
  <c r="G45" i="3"/>
  <c r="F45" i="3"/>
  <c r="D45" i="3"/>
  <c r="C45" i="3"/>
  <c r="B45" i="3"/>
  <c r="J44" i="3"/>
  <c r="I44" i="3"/>
  <c r="H44" i="3"/>
  <c r="G44" i="3"/>
  <c r="F44" i="3"/>
  <c r="D44" i="3"/>
  <c r="C44" i="3"/>
  <c r="B44" i="3"/>
  <c r="J43" i="3"/>
  <c r="I43" i="3"/>
  <c r="H43" i="3"/>
  <c r="G43" i="3"/>
  <c r="F43" i="3"/>
  <c r="D43" i="3"/>
  <c r="C43" i="3"/>
  <c r="B43" i="3"/>
  <c r="J42" i="3"/>
  <c r="I42" i="3"/>
  <c r="H42" i="3"/>
  <c r="G42" i="3"/>
  <c r="F42" i="3"/>
  <c r="D42" i="3"/>
  <c r="C42" i="3"/>
  <c r="B42" i="3"/>
  <c r="J41" i="3"/>
  <c r="I41" i="3"/>
  <c r="H41" i="3"/>
  <c r="G41" i="3"/>
  <c r="F41" i="3"/>
  <c r="D41" i="3"/>
  <c r="C41" i="3"/>
  <c r="B41" i="3"/>
  <c r="J40" i="3"/>
  <c r="I40" i="3"/>
  <c r="H40" i="3"/>
  <c r="G40" i="3"/>
  <c r="F40" i="3"/>
  <c r="D40" i="3"/>
  <c r="C40" i="3"/>
  <c r="B40" i="3"/>
  <c r="J39" i="3"/>
  <c r="I39" i="3"/>
  <c r="H39" i="3"/>
  <c r="G39" i="3"/>
  <c r="F39" i="3"/>
  <c r="D39" i="3"/>
  <c r="C39" i="3"/>
  <c r="B39" i="3"/>
  <c r="J38" i="3"/>
  <c r="I38" i="3"/>
  <c r="H38" i="3"/>
  <c r="G38" i="3"/>
  <c r="F38" i="3"/>
  <c r="D38" i="3"/>
  <c r="C38" i="3"/>
  <c r="B38" i="3"/>
  <c r="J37" i="3"/>
  <c r="I37" i="3"/>
  <c r="H37" i="3"/>
  <c r="G37" i="3"/>
  <c r="F37" i="3"/>
  <c r="D37" i="3"/>
  <c r="C37" i="3"/>
  <c r="B37" i="3"/>
  <c r="J36" i="3"/>
  <c r="I36" i="3"/>
  <c r="H36" i="3"/>
  <c r="G36" i="3"/>
  <c r="F36" i="3"/>
  <c r="D36" i="3"/>
  <c r="C36" i="3"/>
  <c r="B36" i="3"/>
  <c r="J35" i="3"/>
  <c r="I35" i="3"/>
  <c r="H35" i="3"/>
  <c r="G35" i="3"/>
  <c r="F35" i="3"/>
  <c r="D35" i="3"/>
  <c r="C35" i="3"/>
  <c r="B35" i="3"/>
  <c r="J34" i="3"/>
  <c r="I34" i="3"/>
  <c r="H34" i="3"/>
  <c r="G34" i="3"/>
  <c r="F34" i="3"/>
  <c r="D34" i="3"/>
  <c r="C34" i="3"/>
  <c r="B34" i="3"/>
  <c r="J33" i="3"/>
  <c r="I33" i="3"/>
  <c r="H33" i="3"/>
  <c r="G33" i="3"/>
  <c r="F33" i="3"/>
  <c r="D33" i="3"/>
  <c r="C33" i="3"/>
  <c r="B33" i="3"/>
  <c r="J32" i="3"/>
  <c r="I32" i="3"/>
  <c r="H32" i="3"/>
  <c r="G32" i="3"/>
  <c r="F32" i="3"/>
  <c r="D32" i="3"/>
  <c r="C32" i="3"/>
  <c r="B32" i="3"/>
  <c r="J31" i="3"/>
  <c r="I31" i="3"/>
  <c r="H31" i="3"/>
  <c r="G31" i="3"/>
  <c r="F31" i="3"/>
  <c r="D31" i="3"/>
  <c r="C31" i="3"/>
  <c r="B31" i="3"/>
  <c r="J30" i="3"/>
  <c r="I30" i="3"/>
  <c r="H30" i="3"/>
  <c r="G30" i="3"/>
  <c r="F30" i="3"/>
  <c r="D30" i="3"/>
  <c r="C30" i="3"/>
  <c r="B30" i="3"/>
  <c r="J29" i="3"/>
  <c r="I29" i="3"/>
  <c r="H29" i="3"/>
  <c r="G29" i="3"/>
  <c r="F29" i="3"/>
  <c r="D29" i="3"/>
  <c r="C29" i="3"/>
  <c r="B29" i="3"/>
  <c r="J28" i="3"/>
  <c r="I28" i="3"/>
  <c r="H28" i="3"/>
  <c r="G28" i="3"/>
  <c r="F28" i="3"/>
  <c r="D28" i="3"/>
  <c r="C28" i="3"/>
  <c r="B28" i="3"/>
  <c r="J27" i="3"/>
  <c r="I27" i="3"/>
  <c r="H27" i="3"/>
  <c r="G27" i="3"/>
  <c r="F27" i="3"/>
  <c r="D27" i="3"/>
  <c r="C27" i="3"/>
  <c r="B27" i="3"/>
  <c r="J26" i="3"/>
  <c r="I26" i="3"/>
  <c r="H26" i="3"/>
  <c r="G26" i="3"/>
  <c r="F26" i="3"/>
  <c r="D26" i="3"/>
  <c r="C26" i="3"/>
  <c r="B26" i="3"/>
  <c r="J25" i="3"/>
  <c r="I25" i="3"/>
  <c r="H25" i="3"/>
  <c r="G25" i="3"/>
  <c r="F25" i="3"/>
  <c r="D25" i="3"/>
  <c r="C25" i="3"/>
  <c r="B25" i="3"/>
  <c r="K4" i="3"/>
  <c r="H142" i="1"/>
  <c r="F142" i="1"/>
  <c r="E142" i="1"/>
  <c r="D142" i="1"/>
  <c r="C142" i="1"/>
  <c r="B142" i="1"/>
  <c r="H141" i="1"/>
  <c r="F141" i="1"/>
  <c r="E141" i="1"/>
  <c r="D141" i="1"/>
  <c r="C141" i="1"/>
  <c r="B141" i="1"/>
  <c r="H140" i="1"/>
  <c r="F140" i="1"/>
  <c r="E140" i="1"/>
  <c r="D140" i="1"/>
  <c r="C140" i="1"/>
  <c r="B140" i="1"/>
  <c r="H139" i="1"/>
  <c r="F139" i="1"/>
  <c r="E139" i="1"/>
  <c r="D139" i="1"/>
  <c r="C139" i="1"/>
  <c r="B139" i="1"/>
  <c r="H138" i="1"/>
  <c r="F138" i="1"/>
  <c r="E138" i="1"/>
  <c r="D138" i="1"/>
  <c r="C138" i="1"/>
  <c r="B138" i="1"/>
  <c r="H137" i="1"/>
  <c r="F137" i="1"/>
  <c r="E137" i="1"/>
  <c r="D137" i="1"/>
  <c r="C137" i="1"/>
  <c r="B137" i="1"/>
  <c r="H136" i="1"/>
  <c r="F136" i="1"/>
  <c r="E136" i="1"/>
  <c r="D136" i="1"/>
  <c r="C136" i="1"/>
  <c r="B136" i="1"/>
  <c r="H135" i="1"/>
  <c r="F135" i="1"/>
  <c r="E135" i="1"/>
  <c r="D135" i="1"/>
  <c r="C135" i="1"/>
  <c r="B135" i="1"/>
  <c r="H134" i="1"/>
  <c r="F134" i="1"/>
  <c r="E134" i="1"/>
  <c r="D134" i="1"/>
  <c r="C134" i="1"/>
  <c r="B134" i="1"/>
  <c r="H133" i="1"/>
  <c r="F133" i="1"/>
  <c r="E133" i="1"/>
  <c r="D133" i="1"/>
  <c r="C133" i="1"/>
  <c r="B133" i="1"/>
  <c r="H132" i="1"/>
  <c r="F132" i="1"/>
  <c r="E132" i="1"/>
  <c r="D132" i="1"/>
  <c r="C132" i="1"/>
  <c r="B132" i="1"/>
  <c r="H131" i="1"/>
  <c r="F131" i="1"/>
  <c r="E131" i="1"/>
  <c r="D131" i="1"/>
  <c r="C131" i="1"/>
  <c r="B131" i="1"/>
  <c r="H130" i="1"/>
  <c r="F130" i="1"/>
  <c r="E130" i="1"/>
  <c r="D130" i="1"/>
  <c r="C130" i="1"/>
  <c r="B130" i="1"/>
  <c r="H129" i="1"/>
  <c r="F129" i="1"/>
  <c r="E129" i="1"/>
  <c r="D129" i="1"/>
  <c r="C129" i="1"/>
  <c r="B129" i="1"/>
  <c r="H128" i="1"/>
  <c r="F128" i="1"/>
  <c r="E128" i="1"/>
  <c r="D128" i="1"/>
  <c r="C128" i="1"/>
  <c r="B128" i="1"/>
  <c r="H127" i="1"/>
  <c r="F127" i="1"/>
  <c r="E127" i="1"/>
  <c r="D127" i="1"/>
  <c r="C127" i="1"/>
  <c r="B127" i="1"/>
  <c r="H126" i="1"/>
  <c r="F126" i="1"/>
  <c r="E126" i="1"/>
  <c r="D126" i="1"/>
  <c r="C126" i="1"/>
  <c r="B126" i="1"/>
  <c r="H125" i="1"/>
  <c r="F125" i="1"/>
  <c r="E125" i="1"/>
  <c r="D125" i="1"/>
  <c r="C125" i="1"/>
  <c r="B125" i="1"/>
  <c r="H124" i="1"/>
  <c r="F124" i="1"/>
  <c r="E124" i="1"/>
  <c r="D124" i="1"/>
  <c r="C124" i="1"/>
  <c r="B124" i="1"/>
  <c r="H123" i="1"/>
  <c r="F123" i="1"/>
  <c r="E123" i="1"/>
  <c r="D123" i="1"/>
  <c r="C123" i="1"/>
  <c r="B123" i="1"/>
  <c r="H122" i="1"/>
  <c r="F122" i="1"/>
  <c r="E122" i="1"/>
  <c r="D122" i="1"/>
  <c r="C122" i="1"/>
  <c r="B122" i="1"/>
  <c r="H121" i="1"/>
  <c r="F121" i="1"/>
  <c r="E121" i="1"/>
  <c r="D121" i="1"/>
  <c r="C121" i="1"/>
  <c r="B121" i="1"/>
  <c r="H120" i="1"/>
  <c r="F120" i="1"/>
  <c r="E120" i="1"/>
  <c r="D120" i="1"/>
  <c r="C120" i="1"/>
  <c r="B120" i="1"/>
  <c r="H119" i="1"/>
  <c r="F119" i="1"/>
  <c r="E119" i="1"/>
  <c r="D119" i="1"/>
  <c r="C119" i="1"/>
  <c r="B119" i="1"/>
  <c r="H118" i="1"/>
  <c r="F118" i="1"/>
  <c r="E118" i="1"/>
  <c r="D118" i="1"/>
  <c r="C118" i="1"/>
  <c r="B118" i="1"/>
  <c r="H117" i="1"/>
  <c r="F117" i="1"/>
  <c r="E117" i="1"/>
  <c r="D117" i="1"/>
  <c r="C117" i="1"/>
  <c r="B117" i="1"/>
  <c r="H116" i="1"/>
  <c r="F116" i="1"/>
  <c r="E116" i="1"/>
  <c r="D116" i="1"/>
  <c r="C116" i="1"/>
  <c r="B116" i="1"/>
  <c r="H115" i="1"/>
  <c r="F115" i="1"/>
  <c r="E115" i="1"/>
  <c r="D115" i="1"/>
  <c r="C115" i="1"/>
  <c r="B115" i="1"/>
  <c r="H114" i="1"/>
  <c r="F114" i="1"/>
  <c r="E114" i="1"/>
  <c r="D114" i="1"/>
  <c r="C114" i="1"/>
  <c r="B114" i="1"/>
  <c r="H113" i="1"/>
  <c r="F113" i="1"/>
  <c r="E113" i="1"/>
  <c r="D113" i="1"/>
  <c r="C113" i="1"/>
  <c r="B113" i="1"/>
  <c r="H112" i="1"/>
  <c r="F112" i="1"/>
  <c r="E112" i="1"/>
  <c r="D112" i="1"/>
  <c r="C112" i="1"/>
  <c r="B112" i="1"/>
  <c r="H111" i="1"/>
  <c r="F111" i="1"/>
  <c r="E111" i="1"/>
  <c r="D111" i="1"/>
  <c r="C111" i="1"/>
  <c r="B111" i="1"/>
  <c r="H110" i="1"/>
  <c r="F110" i="1"/>
  <c r="E110" i="1"/>
  <c r="D110" i="1"/>
  <c r="C110" i="1"/>
  <c r="B110" i="1"/>
  <c r="H109" i="1"/>
  <c r="F109" i="1"/>
  <c r="E109" i="1"/>
  <c r="D109" i="1"/>
  <c r="C109" i="1"/>
  <c r="B109" i="1"/>
  <c r="H108" i="1"/>
  <c r="F108" i="1"/>
  <c r="E108" i="1"/>
  <c r="D108" i="1"/>
  <c r="C108" i="1"/>
  <c r="B108" i="1"/>
  <c r="H107" i="1"/>
  <c r="F107" i="1"/>
  <c r="E107" i="1"/>
  <c r="D107" i="1"/>
  <c r="C107" i="1"/>
  <c r="B107" i="1"/>
  <c r="H106" i="1"/>
  <c r="F106" i="1"/>
  <c r="E106" i="1"/>
  <c r="D106" i="1"/>
  <c r="C106" i="1"/>
  <c r="B106" i="1"/>
  <c r="H105" i="1"/>
  <c r="F105" i="1"/>
  <c r="E105" i="1"/>
  <c r="D105" i="1"/>
  <c r="C105" i="1"/>
  <c r="B105" i="1"/>
  <c r="H104" i="1"/>
  <c r="F104" i="1"/>
  <c r="E104" i="1"/>
  <c r="D104" i="1"/>
  <c r="C104" i="1"/>
  <c r="B104" i="1"/>
  <c r="H103" i="1"/>
  <c r="F103" i="1"/>
  <c r="E103" i="1"/>
  <c r="D103" i="1"/>
  <c r="C103" i="1"/>
  <c r="B103" i="1"/>
  <c r="H102" i="1"/>
  <c r="F102" i="1"/>
  <c r="E102" i="1"/>
  <c r="D102" i="1"/>
  <c r="C102" i="1"/>
  <c r="B102" i="1"/>
  <c r="H101" i="1"/>
  <c r="F101" i="1"/>
  <c r="E101" i="1"/>
  <c r="D101" i="1"/>
  <c r="C101" i="1"/>
  <c r="B101" i="1"/>
  <c r="H100" i="1"/>
  <c r="F100" i="1"/>
  <c r="E100" i="1"/>
  <c r="D100" i="1"/>
  <c r="C100" i="1"/>
  <c r="B100" i="1"/>
  <c r="H99" i="1"/>
  <c r="F99" i="1"/>
  <c r="E99" i="1"/>
  <c r="D99" i="1"/>
  <c r="C99" i="1"/>
  <c r="B99" i="1"/>
  <c r="H98" i="1"/>
  <c r="F98" i="1"/>
  <c r="E98" i="1"/>
  <c r="D98" i="1"/>
  <c r="C98" i="1"/>
  <c r="B98" i="1"/>
  <c r="H97" i="1"/>
  <c r="F97" i="1"/>
  <c r="E97" i="1"/>
  <c r="D97" i="1"/>
  <c r="C97" i="1"/>
  <c r="B97" i="1"/>
  <c r="H96" i="1"/>
  <c r="F96" i="1"/>
  <c r="E96" i="1"/>
  <c r="D96" i="1"/>
  <c r="C96" i="1"/>
  <c r="B96" i="1"/>
  <c r="H95" i="1"/>
  <c r="F95" i="1"/>
  <c r="E95" i="1"/>
  <c r="D95" i="1"/>
  <c r="C95" i="1"/>
  <c r="B95" i="1"/>
  <c r="H94" i="1"/>
  <c r="F94" i="1"/>
  <c r="E94" i="1"/>
  <c r="D94" i="1"/>
  <c r="C94" i="1"/>
  <c r="B94" i="1"/>
  <c r="H93" i="1"/>
  <c r="F93" i="1"/>
  <c r="E93" i="1"/>
  <c r="D93" i="1"/>
  <c r="C93" i="1"/>
  <c r="B93" i="1"/>
  <c r="H92" i="1"/>
  <c r="F92" i="1"/>
  <c r="E92" i="1"/>
  <c r="D92" i="1"/>
  <c r="C92" i="1"/>
  <c r="B92" i="1"/>
  <c r="H91" i="1"/>
  <c r="F91" i="1"/>
  <c r="E91" i="1"/>
  <c r="D91" i="1"/>
  <c r="C91" i="1"/>
  <c r="B91" i="1"/>
  <c r="H90" i="1"/>
  <c r="F90" i="1"/>
  <c r="E90" i="1"/>
  <c r="D90" i="1"/>
  <c r="C90" i="1"/>
  <c r="B90" i="1"/>
  <c r="H89" i="1"/>
  <c r="F89" i="1"/>
  <c r="E89" i="1"/>
  <c r="D89" i="1"/>
  <c r="C89" i="1"/>
  <c r="B89" i="1"/>
  <c r="H88" i="1"/>
  <c r="F88" i="1"/>
  <c r="E88" i="1"/>
  <c r="D88" i="1"/>
  <c r="C88" i="1"/>
  <c r="B88" i="1"/>
  <c r="H87" i="1"/>
  <c r="F87" i="1"/>
  <c r="E87" i="1"/>
  <c r="D87" i="1"/>
  <c r="C87" i="1"/>
  <c r="B87" i="1"/>
  <c r="H86" i="1"/>
  <c r="F86" i="1"/>
  <c r="E86" i="1"/>
  <c r="D86" i="1"/>
  <c r="C86" i="1"/>
  <c r="B86" i="1"/>
  <c r="H85" i="1"/>
  <c r="F85" i="1"/>
  <c r="E85" i="1"/>
  <c r="D85" i="1"/>
  <c r="C85" i="1"/>
  <c r="B85" i="1"/>
  <c r="H84" i="1"/>
  <c r="F84" i="1"/>
  <c r="E84" i="1"/>
  <c r="D84" i="1"/>
  <c r="C84" i="1"/>
  <c r="B84" i="1"/>
  <c r="H83" i="1"/>
  <c r="F83" i="1"/>
  <c r="E83" i="1"/>
  <c r="D83" i="1"/>
  <c r="C83" i="1"/>
  <c r="B83" i="1"/>
  <c r="H82" i="1"/>
  <c r="F82" i="1"/>
  <c r="E82" i="1"/>
  <c r="D82" i="1"/>
  <c r="C82" i="1"/>
  <c r="B82" i="1"/>
  <c r="H81" i="1"/>
  <c r="F81" i="1"/>
  <c r="E81" i="1"/>
  <c r="D81" i="1"/>
  <c r="C81" i="1"/>
  <c r="B81" i="1"/>
  <c r="H80" i="1"/>
  <c r="F80" i="1"/>
  <c r="E80" i="1"/>
  <c r="D80" i="1"/>
  <c r="C80" i="1"/>
  <c r="B80" i="1"/>
  <c r="H79" i="1"/>
  <c r="F79" i="1"/>
  <c r="E79" i="1"/>
  <c r="D79" i="1"/>
  <c r="C79" i="1"/>
  <c r="B79" i="1"/>
  <c r="H78" i="1"/>
  <c r="F78" i="1"/>
  <c r="E78" i="1"/>
  <c r="D78" i="1"/>
  <c r="C78" i="1"/>
  <c r="B78" i="1"/>
  <c r="H77" i="1"/>
  <c r="F77" i="1"/>
  <c r="E77" i="1"/>
  <c r="D77" i="1"/>
  <c r="C77" i="1"/>
  <c r="B77" i="1"/>
  <c r="H76" i="1"/>
  <c r="F76" i="1"/>
  <c r="E76" i="1"/>
  <c r="D76" i="1"/>
  <c r="C76" i="1"/>
  <c r="B76" i="1"/>
  <c r="H75" i="1"/>
  <c r="F75" i="1"/>
  <c r="E75" i="1"/>
  <c r="D75" i="1"/>
  <c r="C75" i="1"/>
  <c r="B75" i="1"/>
  <c r="H74" i="1"/>
  <c r="F74" i="1"/>
  <c r="E74" i="1"/>
  <c r="D74" i="1"/>
  <c r="C74" i="1"/>
  <c r="B74" i="1"/>
  <c r="H73" i="1"/>
  <c r="F73" i="1"/>
  <c r="E73" i="1"/>
  <c r="D73" i="1"/>
  <c r="C73" i="1"/>
  <c r="B73" i="1"/>
  <c r="H72" i="1"/>
  <c r="F72" i="1"/>
  <c r="E72" i="1"/>
  <c r="D72" i="1"/>
  <c r="C72" i="1"/>
  <c r="B72" i="1"/>
  <c r="H71" i="1"/>
  <c r="F71" i="1"/>
  <c r="E71" i="1"/>
  <c r="D71" i="1"/>
  <c r="C71" i="1"/>
  <c r="B71" i="1"/>
  <c r="H70" i="1"/>
  <c r="F70" i="1"/>
  <c r="E70" i="1"/>
  <c r="D70" i="1"/>
  <c r="C70" i="1"/>
  <c r="B70" i="1"/>
  <c r="H69" i="1"/>
  <c r="F69" i="1"/>
  <c r="E69" i="1"/>
  <c r="D69" i="1"/>
  <c r="C69" i="1"/>
  <c r="B69" i="1"/>
  <c r="H68" i="1"/>
  <c r="F68" i="1"/>
  <c r="E68" i="1"/>
  <c r="D68" i="1"/>
  <c r="C68" i="1"/>
  <c r="B68" i="1"/>
  <c r="H67" i="1"/>
  <c r="F67" i="1"/>
  <c r="E67" i="1"/>
  <c r="D67" i="1"/>
  <c r="C67" i="1"/>
  <c r="B67" i="1"/>
  <c r="H66" i="1"/>
  <c r="F66" i="1"/>
  <c r="E66" i="1"/>
  <c r="D66" i="1"/>
  <c r="C66" i="1"/>
  <c r="B66" i="1"/>
  <c r="H65" i="1"/>
  <c r="F65" i="1"/>
  <c r="E65" i="1"/>
  <c r="D65" i="1"/>
  <c r="C65" i="1"/>
  <c r="B65" i="1"/>
  <c r="H64" i="1"/>
  <c r="F64" i="1"/>
  <c r="E64" i="1"/>
  <c r="D64" i="1"/>
  <c r="C64" i="1"/>
  <c r="B64" i="1"/>
  <c r="H63" i="1"/>
  <c r="F63" i="1"/>
  <c r="E63" i="1"/>
  <c r="D63" i="1"/>
  <c r="C63" i="1"/>
  <c r="B63" i="1"/>
  <c r="H62" i="1"/>
  <c r="F62" i="1"/>
  <c r="E62" i="1"/>
  <c r="D62" i="1"/>
  <c r="C62" i="1"/>
  <c r="B62" i="1"/>
  <c r="H61" i="1"/>
  <c r="F61" i="1"/>
  <c r="E61" i="1"/>
  <c r="D61" i="1"/>
  <c r="C61" i="1"/>
  <c r="B61" i="1"/>
  <c r="H60" i="1"/>
  <c r="F60" i="1"/>
  <c r="E60" i="1"/>
  <c r="D60" i="1"/>
  <c r="C60" i="1"/>
  <c r="B60" i="1"/>
  <c r="H59" i="1"/>
  <c r="F59" i="1"/>
  <c r="E59" i="1"/>
  <c r="D59" i="1"/>
  <c r="C59" i="1"/>
  <c r="B59" i="1"/>
  <c r="H58" i="1"/>
  <c r="F58" i="1"/>
  <c r="E58" i="1"/>
  <c r="D58" i="1"/>
  <c r="C58" i="1"/>
  <c r="B58" i="1"/>
  <c r="H57" i="1"/>
  <c r="F57" i="1"/>
  <c r="E57" i="1"/>
  <c r="D57" i="1"/>
  <c r="C57" i="1"/>
  <c r="B57" i="1"/>
  <c r="H56" i="1"/>
  <c r="F56" i="1"/>
  <c r="E56" i="1"/>
  <c r="D56" i="1"/>
  <c r="C56" i="1"/>
  <c r="B56" i="1"/>
  <c r="H55" i="1"/>
  <c r="F55" i="1"/>
  <c r="E55" i="1"/>
  <c r="D55" i="1"/>
  <c r="C55" i="1"/>
  <c r="B55" i="1"/>
  <c r="H54" i="1"/>
  <c r="F54" i="1"/>
  <c r="E54" i="1"/>
  <c r="D54" i="1"/>
  <c r="C54" i="1"/>
  <c r="B54" i="1"/>
  <c r="H53" i="1"/>
  <c r="F53" i="1"/>
  <c r="E53" i="1"/>
  <c r="D53" i="1"/>
  <c r="C53" i="1"/>
  <c r="B53" i="1"/>
  <c r="H52" i="1"/>
  <c r="F52" i="1"/>
  <c r="E52" i="1"/>
  <c r="D52" i="1"/>
  <c r="C52" i="1"/>
  <c r="B52" i="1"/>
  <c r="H51" i="1"/>
  <c r="F51" i="1"/>
  <c r="E51" i="1"/>
  <c r="D51" i="1"/>
  <c r="C51" i="1"/>
  <c r="B51" i="1"/>
  <c r="H50" i="1"/>
  <c r="F50" i="1"/>
  <c r="E50" i="1"/>
  <c r="D50" i="1"/>
  <c r="C50" i="1"/>
  <c r="B50" i="1"/>
  <c r="H49" i="1"/>
  <c r="F49" i="1"/>
  <c r="E49" i="1"/>
  <c r="D49" i="1"/>
  <c r="C49" i="1"/>
  <c r="B49" i="1"/>
  <c r="H48" i="1"/>
  <c r="F48" i="1"/>
  <c r="E48" i="1"/>
  <c r="D48" i="1"/>
  <c r="C48" i="1"/>
  <c r="B48" i="1"/>
  <c r="H47" i="1"/>
  <c r="F47" i="1"/>
  <c r="E47" i="1"/>
  <c r="D47" i="1"/>
  <c r="C47" i="1"/>
  <c r="B47" i="1"/>
  <c r="H46" i="1"/>
  <c r="F46" i="1"/>
  <c r="E46" i="1"/>
  <c r="D46" i="1"/>
  <c r="C46" i="1"/>
  <c r="B46" i="1"/>
  <c r="H45" i="1"/>
  <c r="F45" i="1"/>
  <c r="E45" i="1"/>
  <c r="D45" i="1"/>
  <c r="C45" i="1"/>
  <c r="B45" i="1"/>
  <c r="H44" i="1"/>
  <c r="F44" i="1"/>
  <c r="E44" i="1"/>
  <c r="D44" i="1"/>
  <c r="C44" i="1"/>
  <c r="B44" i="1"/>
  <c r="H43" i="1"/>
  <c r="F43" i="1"/>
  <c r="E43" i="1"/>
  <c r="D43" i="1"/>
  <c r="C43" i="1"/>
  <c r="B43" i="1"/>
  <c r="H42" i="1"/>
  <c r="F42" i="1"/>
  <c r="E42" i="1"/>
  <c r="D42" i="1"/>
  <c r="C42" i="1"/>
  <c r="B42" i="1"/>
  <c r="H41" i="1"/>
  <c r="F41" i="1"/>
  <c r="E41" i="1"/>
  <c r="D41" i="1"/>
  <c r="C41" i="1"/>
  <c r="B41" i="1"/>
  <c r="H40" i="1"/>
  <c r="F40" i="1"/>
  <c r="E40" i="1"/>
  <c r="D40" i="1"/>
  <c r="C40" i="1"/>
  <c r="B40" i="1"/>
  <c r="H39" i="1"/>
  <c r="F39" i="1"/>
  <c r="E39" i="1"/>
  <c r="D39" i="1"/>
  <c r="C39" i="1"/>
  <c r="B39" i="1"/>
  <c r="H38" i="1"/>
  <c r="F38" i="1"/>
  <c r="E38" i="1"/>
  <c r="D38" i="1"/>
  <c r="C38" i="1"/>
  <c r="B38" i="1"/>
  <c r="H37" i="1"/>
  <c r="F37" i="1"/>
  <c r="E37" i="1"/>
  <c r="D37" i="1"/>
  <c r="C37" i="1"/>
  <c r="B37" i="1"/>
  <c r="H36" i="1"/>
  <c r="F36" i="1"/>
  <c r="E36" i="1"/>
  <c r="D36" i="1"/>
  <c r="C36" i="1"/>
  <c r="B36" i="1"/>
  <c r="H35" i="1"/>
  <c r="F35" i="1"/>
  <c r="E35" i="1"/>
  <c r="D35" i="1"/>
  <c r="C35" i="1"/>
  <c r="B35" i="1"/>
  <c r="H34" i="1"/>
  <c r="F34" i="1"/>
  <c r="E34" i="1"/>
  <c r="D34" i="1"/>
  <c r="C34" i="1"/>
  <c r="B34" i="1"/>
  <c r="H33" i="1"/>
  <c r="F33" i="1"/>
  <c r="E33" i="1"/>
  <c r="D33" i="1"/>
  <c r="C33" i="1"/>
  <c r="B33" i="1"/>
  <c r="H32" i="1"/>
  <c r="F32" i="1"/>
  <c r="E32" i="1"/>
  <c r="D32" i="1"/>
  <c r="C32" i="1"/>
  <c r="B32" i="1"/>
  <c r="H31" i="1"/>
  <c r="F31" i="1"/>
  <c r="E31" i="1"/>
  <c r="D31" i="1"/>
  <c r="C31" i="1"/>
  <c r="B31" i="1"/>
  <c r="H30" i="1"/>
  <c r="F30" i="1"/>
  <c r="E30" i="1"/>
  <c r="D30" i="1"/>
  <c r="C30" i="1"/>
  <c r="B30" i="1"/>
  <c r="H29" i="1"/>
  <c r="F29" i="1"/>
  <c r="E29" i="1"/>
  <c r="D29" i="1"/>
  <c r="C29" i="1"/>
  <c r="B29" i="1"/>
  <c r="H28" i="1"/>
  <c r="F28" i="1"/>
  <c r="E28" i="1"/>
  <c r="D28" i="1"/>
  <c r="C28" i="1"/>
  <c r="B28" i="1"/>
  <c r="H27" i="1"/>
  <c r="F27" i="1"/>
  <c r="E27" i="1"/>
  <c r="D27" i="1"/>
  <c r="C27" i="1"/>
  <c r="B27" i="1"/>
  <c r="H26" i="1"/>
  <c r="F26" i="1"/>
  <c r="E26" i="1"/>
  <c r="D26" i="1"/>
  <c r="C26" i="1"/>
  <c r="B26" i="1"/>
  <c r="H25" i="1"/>
  <c r="F25" i="1"/>
  <c r="E25" i="1"/>
  <c r="D25" i="1"/>
  <c r="C25" i="1"/>
  <c r="B25" i="1"/>
  <c r="H24" i="1"/>
  <c r="F24" i="1"/>
  <c r="E24" i="1"/>
  <c r="D24" i="1"/>
  <c r="C24" i="1"/>
  <c r="B24" i="1"/>
  <c r="H23" i="1"/>
  <c r="F23" i="1"/>
  <c r="E23" i="1"/>
  <c r="D23" i="1"/>
  <c r="C23" i="1"/>
  <c r="B23" i="1"/>
  <c r="H22" i="1"/>
  <c r="F22" i="1"/>
  <c r="E22" i="1"/>
  <c r="D22" i="1"/>
  <c r="C22" i="1"/>
  <c r="B22" i="1"/>
  <c r="H21" i="1"/>
  <c r="F21" i="1"/>
  <c r="E21" i="1"/>
  <c r="D21" i="1"/>
  <c r="C21" i="1"/>
  <c r="B21" i="1"/>
  <c r="H20" i="1"/>
  <c r="F20" i="1"/>
  <c r="E20" i="1"/>
  <c r="D20" i="1"/>
  <c r="C20" i="1"/>
  <c r="B20" i="1"/>
  <c r="H19" i="1"/>
  <c r="F19" i="1"/>
  <c r="E19" i="1"/>
  <c r="D19" i="1"/>
  <c r="C19" i="1"/>
  <c r="B19" i="1"/>
  <c r="H18" i="1"/>
  <c r="F18" i="1"/>
  <c r="E18" i="1"/>
  <c r="D18" i="1"/>
  <c r="C18" i="1"/>
  <c r="B18" i="1"/>
  <c r="H17" i="1"/>
  <c r="F17" i="1"/>
  <c r="E17" i="1"/>
  <c r="D17" i="1"/>
  <c r="C17" i="1"/>
  <c r="B17" i="1"/>
  <c r="H16" i="1"/>
  <c r="F16" i="1"/>
  <c r="E16" i="1"/>
  <c r="D16" i="1"/>
  <c r="C16" i="1"/>
  <c r="B16" i="1"/>
  <c r="H15" i="1"/>
  <c r="F15" i="1"/>
  <c r="E15" i="1"/>
  <c r="D15" i="1"/>
  <c r="C15" i="1"/>
  <c r="B15" i="1"/>
  <c r="H14" i="1"/>
  <c r="F14" i="1"/>
  <c r="E14" i="1"/>
  <c r="D14" i="1"/>
  <c r="C14" i="1"/>
  <c r="B14" i="1"/>
  <c r="H13" i="1"/>
  <c r="F13" i="1"/>
  <c r="E13" i="1"/>
  <c r="D13" i="1"/>
  <c r="C13" i="1"/>
  <c r="B13" i="1"/>
  <c r="H12" i="1"/>
  <c r="F12" i="1"/>
  <c r="E12" i="1"/>
  <c r="D12" i="1"/>
  <c r="C12" i="1"/>
  <c r="B12" i="1"/>
  <c r="H11" i="1"/>
  <c r="F11" i="1"/>
  <c r="E11" i="1"/>
  <c r="D11" i="1"/>
  <c r="C11" i="1"/>
  <c r="B11" i="1"/>
  <c r="H10" i="1"/>
  <c r="F10" i="1"/>
  <c r="E10" i="1"/>
  <c r="D10" i="1"/>
  <c r="C10" i="1"/>
  <c r="B10" i="1"/>
  <c r="H9" i="1"/>
  <c r="F9" i="1"/>
  <c r="E9" i="1"/>
  <c r="D9" i="1"/>
  <c r="C9" i="1"/>
  <c r="B9" i="1"/>
  <c r="H8" i="1"/>
  <c r="F8" i="1"/>
  <c r="E8" i="1"/>
  <c r="D8" i="1"/>
  <c r="C8" i="1"/>
  <c r="B8" i="1"/>
  <c r="C5" i="1"/>
  <c r="V175" i="2"/>
  <c r="U175" i="2"/>
  <c r="T175" i="2"/>
  <c r="S175" i="2"/>
  <c r="P175" i="2"/>
  <c r="N175" i="2"/>
  <c r="V174" i="2"/>
  <c r="U174" i="2"/>
  <c r="T174" i="2"/>
  <c r="S174" i="2"/>
  <c r="P174" i="2"/>
  <c r="N174" i="2"/>
  <c r="V173" i="2"/>
  <c r="U173" i="2"/>
  <c r="T173" i="2"/>
  <c r="S173" i="2"/>
  <c r="P173" i="2"/>
  <c r="N173" i="2"/>
  <c r="V172" i="2"/>
  <c r="T172" i="2"/>
  <c r="S172" i="2"/>
  <c r="P172" i="2"/>
  <c r="N172" i="2"/>
  <c r="V171" i="2"/>
  <c r="U171" i="2"/>
  <c r="T171" i="2"/>
  <c r="S171" i="2"/>
  <c r="P171" i="2"/>
  <c r="N171" i="2"/>
  <c r="V170" i="2"/>
  <c r="U170" i="2"/>
  <c r="T170" i="2"/>
  <c r="S170" i="2"/>
  <c r="P170" i="2"/>
  <c r="N170" i="2"/>
  <c r="V169" i="2"/>
  <c r="U169" i="2"/>
  <c r="T169" i="2"/>
  <c r="S169" i="2"/>
  <c r="P169" i="2"/>
  <c r="N169" i="2"/>
  <c r="V168" i="2"/>
  <c r="U168" i="2"/>
  <c r="T168" i="2"/>
  <c r="S168" i="2"/>
  <c r="P168" i="2"/>
  <c r="N168" i="2"/>
  <c r="V167" i="2"/>
  <c r="T167" i="2"/>
  <c r="S167" i="2"/>
  <c r="P167" i="2"/>
  <c r="N167" i="2"/>
  <c r="V166" i="2"/>
  <c r="T166" i="2"/>
  <c r="S166" i="2"/>
  <c r="P166" i="2"/>
  <c r="N166" i="2"/>
  <c r="V165" i="2"/>
  <c r="T165" i="2"/>
  <c r="S165" i="2"/>
  <c r="P165" i="2"/>
  <c r="N165" i="2"/>
  <c r="V164" i="2"/>
  <c r="T164" i="2"/>
  <c r="S164" i="2"/>
  <c r="P164" i="2"/>
  <c r="N164" i="2"/>
  <c r="V163" i="2"/>
  <c r="T163" i="2"/>
  <c r="S163" i="2"/>
  <c r="P163" i="2"/>
  <c r="N163" i="2"/>
  <c r="V162" i="2"/>
  <c r="T162" i="2"/>
  <c r="S162" i="2"/>
  <c r="P162" i="2"/>
  <c r="N162" i="2"/>
  <c r="V161" i="2"/>
  <c r="T161" i="2"/>
  <c r="S161" i="2"/>
  <c r="P161" i="2"/>
  <c r="N161" i="2"/>
  <c r="V160" i="2"/>
  <c r="T160" i="2"/>
  <c r="S160" i="2"/>
  <c r="P160" i="2"/>
  <c r="N160" i="2"/>
  <c r="V159" i="2"/>
  <c r="T159" i="2"/>
  <c r="S159" i="2"/>
  <c r="P159" i="2"/>
  <c r="N159" i="2"/>
  <c r="V158" i="2"/>
  <c r="T158" i="2"/>
  <c r="S158" i="2"/>
  <c r="P158" i="2"/>
  <c r="N158" i="2"/>
  <c r="V157" i="2"/>
  <c r="T157" i="2"/>
  <c r="S157" i="2"/>
  <c r="P157" i="2"/>
  <c r="N157" i="2"/>
  <c r="V156" i="2"/>
  <c r="T156" i="2"/>
  <c r="S156" i="2"/>
  <c r="P156" i="2"/>
  <c r="N156" i="2"/>
  <c r="V155" i="2"/>
  <c r="T155" i="2"/>
  <c r="S155" i="2"/>
  <c r="P155" i="2"/>
  <c r="N155" i="2"/>
  <c r="V154" i="2"/>
  <c r="U154" i="2"/>
  <c r="T154" i="2"/>
  <c r="S154" i="2"/>
  <c r="P154" i="2"/>
  <c r="N154" i="2"/>
  <c r="V153" i="2"/>
  <c r="U153" i="2"/>
  <c r="T153" i="2"/>
  <c r="S153" i="2"/>
  <c r="P153" i="2"/>
  <c r="N153" i="2"/>
  <c r="V152" i="2"/>
  <c r="U152" i="2"/>
  <c r="T152" i="2"/>
  <c r="S152" i="2"/>
  <c r="P152" i="2"/>
  <c r="N152" i="2"/>
  <c r="V151" i="2"/>
  <c r="U151" i="2"/>
  <c r="T151" i="2"/>
  <c r="S151" i="2"/>
  <c r="P151" i="2"/>
  <c r="N151" i="2"/>
  <c r="V150" i="2"/>
  <c r="U150" i="2"/>
  <c r="T150" i="2"/>
  <c r="S150" i="2"/>
  <c r="P150" i="2"/>
  <c r="N150" i="2"/>
  <c r="V149" i="2"/>
  <c r="U149" i="2"/>
  <c r="T149" i="2"/>
  <c r="S149" i="2"/>
  <c r="P149" i="2"/>
  <c r="N149" i="2"/>
  <c r="V148" i="2"/>
  <c r="U148" i="2"/>
  <c r="T148" i="2"/>
  <c r="S148" i="2"/>
  <c r="P148" i="2"/>
  <c r="N148" i="2"/>
  <c r="V147" i="2"/>
  <c r="T147" i="2"/>
  <c r="S147" i="2"/>
  <c r="P147" i="2"/>
  <c r="N147" i="2"/>
  <c r="V146" i="2"/>
  <c r="T146" i="2"/>
  <c r="S146" i="2"/>
  <c r="P146" i="2"/>
  <c r="N146" i="2"/>
  <c r="V145" i="2"/>
  <c r="U145" i="2"/>
  <c r="T145" i="2"/>
  <c r="S145" i="2"/>
  <c r="P145" i="2"/>
  <c r="N145" i="2"/>
  <c r="V144" i="2"/>
  <c r="T144" i="2"/>
  <c r="S144" i="2"/>
  <c r="P144" i="2"/>
  <c r="N144" i="2"/>
  <c r="V143" i="2"/>
  <c r="U143" i="2"/>
  <c r="T143" i="2"/>
  <c r="S143" i="2"/>
  <c r="P143" i="2"/>
  <c r="N143" i="2"/>
  <c r="V142" i="2"/>
  <c r="T142" i="2"/>
  <c r="S142" i="2"/>
  <c r="P142" i="2"/>
  <c r="N142" i="2"/>
  <c r="V141" i="2"/>
  <c r="U141" i="2"/>
  <c r="T141" i="2"/>
  <c r="S141" i="2"/>
  <c r="P141" i="2"/>
  <c r="N141" i="2"/>
  <c r="V140" i="2"/>
  <c r="U140" i="2"/>
  <c r="T140" i="2"/>
  <c r="S140" i="2"/>
  <c r="P140" i="2"/>
  <c r="N140" i="2"/>
  <c r="V139" i="2"/>
  <c r="U139" i="2"/>
  <c r="T139" i="2"/>
  <c r="S139" i="2"/>
  <c r="P139" i="2"/>
  <c r="N139" i="2"/>
  <c r="V138" i="2"/>
  <c r="U138" i="2"/>
  <c r="T138" i="2"/>
  <c r="S138" i="2"/>
  <c r="P138" i="2"/>
  <c r="N138" i="2"/>
  <c r="V137" i="2"/>
  <c r="U137" i="2"/>
  <c r="T137" i="2"/>
  <c r="S137" i="2"/>
  <c r="P137" i="2"/>
  <c r="N137" i="2"/>
  <c r="V136" i="2"/>
  <c r="U136" i="2"/>
  <c r="T136" i="2"/>
  <c r="S136" i="2"/>
  <c r="P136" i="2"/>
  <c r="N136" i="2"/>
  <c r="V135" i="2"/>
  <c r="U135" i="2"/>
  <c r="T135" i="2"/>
  <c r="S135" i="2"/>
  <c r="P135" i="2"/>
  <c r="N135" i="2"/>
  <c r="V134" i="2"/>
  <c r="U134" i="2"/>
  <c r="T134" i="2"/>
  <c r="S134" i="2"/>
  <c r="P134" i="2"/>
  <c r="N134" i="2"/>
  <c r="V133" i="2"/>
  <c r="U133" i="2"/>
  <c r="T133" i="2"/>
  <c r="S133" i="2"/>
  <c r="P133" i="2"/>
  <c r="N133" i="2"/>
  <c r="V132" i="2"/>
  <c r="U132" i="2"/>
  <c r="T132" i="2"/>
  <c r="S132" i="2"/>
  <c r="P132" i="2"/>
  <c r="N132" i="2"/>
  <c r="V131" i="2"/>
  <c r="U131" i="2"/>
  <c r="T131" i="2"/>
  <c r="S131" i="2"/>
  <c r="P131" i="2"/>
  <c r="N131" i="2"/>
  <c r="V130" i="2"/>
  <c r="U130" i="2"/>
  <c r="T130" i="2"/>
  <c r="S130" i="2"/>
  <c r="P130" i="2"/>
  <c r="N130" i="2"/>
  <c r="V129" i="2"/>
  <c r="U129" i="2"/>
  <c r="T129" i="2"/>
  <c r="S129" i="2"/>
  <c r="P129" i="2"/>
  <c r="N129" i="2"/>
  <c r="V128" i="2"/>
  <c r="U128" i="2"/>
  <c r="T128" i="2"/>
  <c r="S128" i="2"/>
  <c r="P128" i="2"/>
  <c r="N128" i="2"/>
  <c r="V127" i="2"/>
  <c r="U127" i="2"/>
  <c r="T127" i="2"/>
  <c r="S127" i="2"/>
  <c r="P127" i="2"/>
  <c r="N127" i="2"/>
  <c r="V126" i="2"/>
  <c r="U126" i="2"/>
  <c r="T126" i="2"/>
  <c r="S126" i="2"/>
  <c r="P126" i="2"/>
  <c r="N126" i="2"/>
  <c r="V125" i="2"/>
  <c r="U125" i="2"/>
  <c r="T125" i="2"/>
  <c r="S125" i="2"/>
  <c r="P125" i="2"/>
  <c r="N125" i="2"/>
  <c r="V124" i="2"/>
  <c r="U124" i="2"/>
  <c r="T124" i="2"/>
  <c r="S124" i="2"/>
  <c r="P124" i="2"/>
  <c r="N124" i="2"/>
  <c r="V123" i="2"/>
  <c r="U123" i="2"/>
  <c r="T123" i="2"/>
  <c r="S123" i="2"/>
  <c r="P123" i="2"/>
  <c r="N123" i="2"/>
  <c r="V122" i="2"/>
  <c r="U122" i="2"/>
  <c r="T122" i="2"/>
  <c r="S122" i="2"/>
  <c r="P122" i="2"/>
  <c r="N122" i="2"/>
  <c r="V121" i="2"/>
  <c r="U121" i="2"/>
  <c r="T121" i="2"/>
  <c r="S121" i="2"/>
  <c r="P121" i="2"/>
  <c r="N121" i="2"/>
  <c r="V120" i="2"/>
  <c r="U120" i="2"/>
  <c r="T120" i="2"/>
  <c r="S120" i="2"/>
  <c r="P120" i="2"/>
  <c r="N120" i="2"/>
  <c r="V119" i="2"/>
  <c r="U119" i="2"/>
  <c r="T119" i="2"/>
  <c r="S119" i="2"/>
  <c r="P119" i="2"/>
  <c r="N119" i="2"/>
  <c r="V118" i="2"/>
  <c r="U118" i="2"/>
  <c r="T118" i="2"/>
  <c r="S118" i="2"/>
  <c r="P118" i="2"/>
  <c r="N118" i="2"/>
  <c r="V117" i="2"/>
  <c r="U117" i="2"/>
  <c r="T117" i="2"/>
  <c r="S117" i="2"/>
  <c r="P117" i="2"/>
  <c r="N117" i="2"/>
  <c r="V116" i="2"/>
  <c r="U116" i="2"/>
  <c r="T116" i="2"/>
  <c r="S116" i="2"/>
  <c r="P116" i="2"/>
  <c r="N116" i="2"/>
  <c r="V115" i="2"/>
  <c r="U115" i="2"/>
  <c r="T115" i="2"/>
  <c r="S115" i="2"/>
  <c r="P115" i="2"/>
  <c r="N115" i="2"/>
  <c r="V114" i="2"/>
  <c r="U114" i="2"/>
  <c r="T114" i="2"/>
  <c r="S114" i="2"/>
  <c r="P114" i="2"/>
  <c r="N114" i="2"/>
  <c r="V113" i="2"/>
  <c r="U113" i="2"/>
  <c r="T113" i="2"/>
  <c r="S113" i="2"/>
  <c r="P113" i="2"/>
  <c r="N113" i="2"/>
  <c r="V112" i="2"/>
  <c r="U112" i="2"/>
  <c r="T112" i="2"/>
  <c r="S112" i="2"/>
  <c r="P112" i="2"/>
  <c r="N112" i="2"/>
  <c r="V111" i="2"/>
  <c r="U111" i="2"/>
  <c r="T111" i="2"/>
  <c r="S111" i="2"/>
  <c r="P111" i="2"/>
  <c r="N111" i="2"/>
  <c r="V110" i="2"/>
  <c r="U110" i="2"/>
  <c r="T110" i="2"/>
  <c r="S110" i="2"/>
  <c r="P110" i="2"/>
  <c r="N110" i="2"/>
  <c r="V109" i="2"/>
  <c r="U109" i="2"/>
  <c r="T109" i="2"/>
  <c r="S109" i="2"/>
  <c r="P109" i="2"/>
  <c r="N109" i="2"/>
  <c r="V108" i="2"/>
  <c r="U108" i="2"/>
  <c r="T108" i="2"/>
  <c r="S108" i="2"/>
  <c r="P108" i="2"/>
  <c r="N108" i="2"/>
  <c r="V107" i="2"/>
  <c r="U107" i="2"/>
  <c r="T107" i="2"/>
  <c r="S107" i="2"/>
  <c r="P107" i="2"/>
  <c r="N107" i="2"/>
  <c r="V106" i="2"/>
  <c r="U106" i="2"/>
  <c r="T106" i="2"/>
  <c r="S106" i="2"/>
  <c r="P106" i="2"/>
  <c r="N106" i="2"/>
  <c r="V105" i="2"/>
  <c r="U105" i="2"/>
  <c r="T105" i="2"/>
  <c r="S105" i="2"/>
  <c r="P105" i="2"/>
  <c r="N105" i="2"/>
  <c r="V104" i="2"/>
  <c r="U104" i="2"/>
  <c r="T104" i="2"/>
  <c r="S104" i="2"/>
  <c r="P104" i="2"/>
  <c r="N104" i="2"/>
  <c r="V103" i="2"/>
  <c r="U103" i="2"/>
  <c r="T103" i="2"/>
  <c r="S103" i="2"/>
  <c r="P103" i="2"/>
  <c r="N103" i="2"/>
  <c r="V102" i="2"/>
  <c r="U102" i="2"/>
  <c r="T102" i="2"/>
  <c r="S102" i="2"/>
  <c r="P102" i="2"/>
  <c r="N102" i="2"/>
  <c r="V101" i="2"/>
  <c r="U101" i="2"/>
  <c r="T101" i="2"/>
  <c r="S101" i="2"/>
  <c r="P101" i="2"/>
  <c r="N101" i="2"/>
  <c r="V100" i="2"/>
  <c r="U100" i="2"/>
  <c r="T100" i="2"/>
  <c r="S100" i="2"/>
  <c r="P100" i="2"/>
  <c r="N100" i="2"/>
  <c r="V99" i="2"/>
  <c r="U99" i="2"/>
  <c r="T99" i="2"/>
  <c r="S99" i="2"/>
  <c r="P99" i="2"/>
  <c r="N99" i="2"/>
  <c r="V98" i="2"/>
  <c r="U98" i="2"/>
  <c r="T98" i="2"/>
  <c r="S98" i="2"/>
  <c r="P98" i="2"/>
  <c r="N98" i="2"/>
  <c r="V97" i="2"/>
  <c r="U97" i="2"/>
  <c r="T97" i="2"/>
  <c r="S97" i="2"/>
  <c r="P97" i="2"/>
  <c r="N97" i="2"/>
  <c r="V96" i="2"/>
  <c r="U96" i="2"/>
  <c r="T96" i="2"/>
  <c r="S96" i="2"/>
  <c r="P96" i="2"/>
  <c r="N96" i="2"/>
  <c r="V95" i="2"/>
  <c r="U95" i="2"/>
  <c r="T95" i="2"/>
  <c r="S95" i="2"/>
  <c r="P95" i="2"/>
  <c r="N95" i="2"/>
  <c r="V94" i="2"/>
  <c r="U94" i="2"/>
  <c r="T94" i="2"/>
  <c r="S94" i="2"/>
  <c r="P94" i="2"/>
  <c r="N94" i="2"/>
  <c r="V93" i="2"/>
  <c r="U93" i="2"/>
  <c r="T93" i="2"/>
  <c r="S93" i="2"/>
  <c r="P93" i="2"/>
  <c r="N93" i="2"/>
  <c r="V92" i="2"/>
  <c r="U92" i="2"/>
  <c r="T92" i="2"/>
  <c r="S92" i="2"/>
  <c r="P92" i="2"/>
  <c r="N92" i="2"/>
  <c r="V91" i="2"/>
  <c r="U91" i="2"/>
  <c r="T91" i="2"/>
  <c r="S91" i="2"/>
  <c r="P91" i="2"/>
  <c r="N91" i="2"/>
  <c r="V90" i="2"/>
  <c r="U90" i="2"/>
  <c r="T90" i="2"/>
  <c r="S90" i="2"/>
  <c r="P90" i="2"/>
  <c r="N90" i="2"/>
  <c r="V89" i="2"/>
  <c r="U89" i="2"/>
  <c r="T89" i="2"/>
  <c r="S89" i="2"/>
  <c r="P89" i="2"/>
  <c r="N89" i="2"/>
  <c r="V88" i="2"/>
  <c r="U88" i="2"/>
  <c r="T88" i="2"/>
  <c r="S88" i="2"/>
  <c r="P88" i="2"/>
  <c r="N88" i="2"/>
  <c r="V87" i="2"/>
  <c r="U87" i="2"/>
  <c r="T87" i="2"/>
  <c r="S87" i="2"/>
  <c r="P87" i="2"/>
  <c r="N87" i="2"/>
  <c r="V86" i="2"/>
  <c r="U86" i="2"/>
  <c r="T86" i="2"/>
  <c r="S86" i="2"/>
  <c r="P86" i="2"/>
  <c r="N86" i="2"/>
  <c r="V85" i="2"/>
  <c r="U85" i="2"/>
  <c r="T85" i="2"/>
  <c r="S85" i="2"/>
  <c r="P85" i="2"/>
  <c r="N85" i="2"/>
  <c r="V84" i="2"/>
  <c r="U84" i="2"/>
  <c r="T84" i="2"/>
  <c r="S84" i="2"/>
  <c r="P84" i="2"/>
  <c r="N84" i="2"/>
  <c r="V83" i="2"/>
  <c r="U83" i="2"/>
  <c r="T83" i="2"/>
  <c r="S83" i="2"/>
  <c r="P83" i="2"/>
  <c r="N83" i="2"/>
  <c r="V82" i="2"/>
  <c r="U82" i="2"/>
  <c r="T82" i="2"/>
  <c r="S82" i="2"/>
  <c r="P82" i="2"/>
  <c r="N82" i="2"/>
  <c r="V81" i="2"/>
  <c r="U81" i="2"/>
  <c r="T81" i="2"/>
  <c r="S81" i="2"/>
  <c r="P81" i="2"/>
  <c r="N81" i="2"/>
  <c r="V80" i="2"/>
  <c r="U80" i="2"/>
  <c r="T80" i="2"/>
  <c r="S80" i="2"/>
  <c r="P80" i="2"/>
  <c r="N80" i="2"/>
  <c r="V79" i="2"/>
  <c r="U79" i="2"/>
  <c r="T79" i="2"/>
  <c r="S79" i="2"/>
  <c r="P79" i="2"/>
  <c r="N79" i="2"/>
  <c r="V78" i="2"/>
  <c r="U78" i="2"/>
  <c r="T78" i="2"/>
  <c r="S78" i="2"/>
  <c r="P78" i="2"/>
  <c r="N78" i="2"/>
  <c r="V77" i="2"/>
  <c r="U77" i="2"/>
  <c r="T77" i="2"/>
  <c r="S77" i="2"/>
  <c r="P77" i="2"/>
  <c r="N77" i="2"/>
  <c r="V76" i="2"/>
  <c r="U76" i="2"/>
  <c r="T76" i="2"/>
  <c r="S76" i="2"/>
  <c r="P76" i="2"/>
  <c r="N76" i="2"/>
  <c r="V75" i="2"/>
  <c r="U75" i="2"/>
  <c r="T75" i="2"/>
  <c r="S75" i="2"/>
  <c r="P75" i="2"/>
  <c r="N75" i="2"/>
  <c r="V74" i="2"/>
  <c r="U74" i="2"/>
  <c r="T74" i="2"/>
  <c r="S74" i="2"/>
  <c r="P74" i="2"/>
  <c r="N74" i="2"/>
  <c r="V73" i="2"/>
  <c r="U73" i="2"/>
  <c r="T73" i="2"/>
  <c r="S73" i="2"/>
  <c r="P73" i="2"/>
  <c r="N73" i="2"/>
  <c r="V72" i="2"/>
  <c r="U72" i="2"/>
  <c r="T72" i="2"/>
  <c r="S72" i="2"/>
  <c r="P72" i="2"/>
  <c r="N72" i="2"/>
  <c r="V71" i="2"/>
  <c r="U71" i="2"/>
  <c r="T71" i="2"/>
  <c r="S71" i="2"/>
  <c r="P71" i="2"/>
  <c r="N71" i="2"/>
  <c r="V70" i="2"/>
  <c r="U70" i="2"/>
  <c r="T70" i="2"/>
  <c r="S70" i="2"/>
  <c r="P70" i="2"/>
  <c r="N70" i="2"/>
  <c r="V69" i="2"/>
  <c r="U69" i="2"/>
  <c r="T69" i="2"/>
  <c r="S69" i="2"/>
  <c r="P69" i="2"/>
  <c r="N69" i="2"/>
  <c r="V68" i="2"/>
  <c r="U68" i="2"/>
  <c r="T68" i="2"/>
  <c r="S68" i="2"/>
  <c r="P68" i="2"/>
  <c r="N68" i="2"/>
  <c r="V67" i="2"/>
  <c r="U67" i="2"/>
  <c r="T67" i="2"/>
  <c r="S67" i="2"/>
  <c r="P67" i="2"/>
  <c r="N67" i="2"/>
  <c r="V66" i="2"/>
  <c r="U66" i="2"/>
  <c r="T66" i="2"/>
  <c r="S66" i="2"/>
  <c r="P66" i="2"/>
  <c r="N66" i="2"/>
  <c r="V65" i="2"/>
  <c r="U65" i="2"/>
  <c r="T65" i="2"/>
  <c r="S65" i="2"/>
  <c r="P65" i="2"/>
  <c r="N65" i="2"/>
  <c r="V64" i="2"/>
  <c r="U64" i="2"/>
  <c r="T64" i="2"/>
  <c r="S64" i="2"/>
  <c r="P64" i="2"/>
  <c r="N64" i="2"/>
  <c r="V63" i="2"/>
  <c r="U63" i="2"/>
  <c r="T63" i="2"/>
  <c r="S63" i="2"/>
  <c r="P63" i="2"/>
  <c r="N63" i="2"/>
  <c r="V62" i="2"/>
  <c r="U62" i="2"/>
  <c r="T62" i="2"/>
  <c r="S62" i="2"/>
  <c r="P62" i="2"/>
  <c r="N62" i="2"/>
  <c r="V61" i="2"/>
  <c r="U61" i="2"/>
  <c r="T61" i="2"/>
  <c r="S61" i="2"/>
  <c r="P61" i="2"/>
  <c r="N61" i="2"/>
  <c r="V60" i="2"/>
  <c r="U60" i="2"/>
  <c r="T60" i="2"/>
  <c r="S60" i="2"/>
  <c r="P60" i="2"/>
  <c r="N60" i="2"/>
  <c r="V59" i="2"/>
  <c r="U59" i="2"/>
  <c r="T59" i="2"/>
  <c r="S59" i="2"/>
  <c r="P59" i="2"/>
  <c r="N59" i="2"/>
  <c r="V58" i="2"/>
  <c r="U58" i="2"/>
  <c r="T58" i="2"/>
  <c r="S58" i="2"/>
  <c r="P58" i="2"/>
  <c r="N58" i="2"/>
  <c r="V57" i="2"/>
  <c r="U57" i="2"/>
  <c r="T57" i="2"/>
  <c r="S57" i="2"/>
  <c r="P57" i="2"/>
  <c r="N57" i="2"/>
  <c r="V56" i="2"/>
  <c r="U56" i="2"/>
  <c r="T56" i="2"/>
  <c r="S56" i="2"/>
  <c r="P56" i="2"/>
  <c r="N56" i="2"/>
  <c r="V55" i="2"/>
  <c r="U55" i="2"/>
  <c r="T55" i="2"/>
  <c r="S55" i="2"/>
  <c r="P55" i="2"/>
  <c r="N55" i="2"/>
  <c r="V54" i="2"/>
  <c r="U54" i="2"/>
  <c r="T54" i="2"/>
  <c r="S54" i="2"/>
  <c r="P54" i="2"/>
  <c r="N54" i="2"/>
  <c r="V53" i="2"/>
  <c r="U53" i="2"/>
  <c r="T53" i="2"/>
  <c r="S53" i="2"/>
  <c r="P53" i="2"/>
  <c r="N53" i="2"/>
  <c r="V52" i="2"/>
  <c r="U52" i="2"/>
  <c r="T52" i="2"/>
  <c r="S52" i="2"/>
  <c r="P52" i="2"/>
  <c r="N52" i="2"/>
  <c r="V51" i="2"/>
  <c r="U51" i="2"/>
  <c r="T51" i="2"/>
  <c r="S51" i="2"/>
  <c r="P51" i="2"/>
  <c r="N51" i="2"/>
  <c r="V50" i="2"/>
  <c r="U50" i="2"/>
  <c r="T50" i="2"/>
  <c r="S50" i="2"/>
  <c r="P50" i="2"/>
  <c r="N50" i="2"/>
  <c r="V49" i="2"/>
  <c r="U49" i="2"/>
  <c r="T49" i="2"/>
  <c r="S49" i="2"/>
  <c r="P49" i="2"/>
  <c r="N49" i="2"/>
  <c r="V48" i="2"/>
  <c r="U48" i="2"/>
  <c r="T48" i="2"/>
  <c r="S48" i="2"/>
  <c r="P48" i="2"/>
  <c r="N48" i="2"/>
  <c r="V47" i="2"/>
  <c r="U47" i="2"/>
  <c r="T47" i="2"/>
  <c r="S47" i="2"/>
  <c r="P47" i="2"/>
  <c r="N47" i="2"/>
  <c r="V46" i="2"/>
  <c r="U46" i="2"/>
  <c r="T46" i="2"/>
  <c r="S46" i="2"/>
  <c r="P46" i="2"/>
  <c r="N46" i="2"/>
  <c r="V45" i="2"/>
  <c r="U45" i="2"/>
  <c r="T45" i="2"/>
  <c r="S45" i="2"/>
  <c r="P45" i="2"/>
  <c r="N45" i="2"/>
  <c r="V44" i="2"/>
  <c r="U44" i="2"/>
  <c r="T44" i="2"/>
  <c r="S44" i="2"/>
  <c r="P44" i="2"/>
  <c r="N44" i="2"/>
  <c r="V43" i="2"/>
  <c r="U43" i="2"/>
  <c r="T43" i="2"/>
  <c r="S43" i="2"/>
  <c r="P43" i="2"/>
  <c r="N43" i="2"/>
  <c r="V42" i="2"/>
  <c r="U42" i="2"/>
  <c r="T42" i="2"/>
  <c r="S42" i="2"/>
  <c r="P42" i="2"/>
  <c r="N42" i="2"/>
  <c r="V41" i="2"/>
  <c r="U41" i="2"/>
  <c r="T41" i="2"/>
  <c r="S41" i="2"/>
  <c r="P41" i="2"/>
  <c r="N41" i="2"/>
  <c r="V40" i="2"/>
  <c r="U40" i="2"/>
  <c r="T40" i="2"/>
  <c r="S40" i="2"/>
  <c r="P40" i="2"/>
  <c r="N40" i="2"/>
  <c r="V39" i="2"/>
  <c r="U39" i="2"/>
  <c r="T39" i="2"/>
  <c r="S39" i="2"/>
  <c r="P39" i="2"/>
  <c r="N39" i="2"/>
  <c r="V38" i="2"/>
  <c r="U38" i="2"/>
  <c r="T38" i="2"/>
  <c r="S38" i="2"/>
  <c r="P38" i="2"/>
  <c r="N38" i="2"/>
  <c r="V37" i="2"/>
  <c r="U37" i="2"/>
  <c r="T37" i="2"/>
  <c r="S37" i="2"/>
  <c r="P37" i="2"/>
  <c r="N37" i="2"/>
  <c r="V36" i="2"/>
  <c r="U36" i="2"/>
  <c r="T36" i="2"/>
  <c r="S36" i="2"/>
  <c r="P36" i="2"/>
  <c r="N36" i="2"/>
  <c r="V35" i="2"/>
  <c r="U35" i="2"/>
  <c r="T35" i="2"/>
  <c r="S35" i="2"/>
  <c r="P35" i="2"/>
  <c r="N35" i="2"/>
  <c r="V34" i="2"/>
  <c r="U34" i="2"/>
  <c r="T34" i="2"/>
  <c r="S34" i="2"/>
  <c r="P34" i="2"/>
  <c r="N34" i="2"/>
  <c r="V33" i="2"/>
  <c r="U33" i="2"/>
  <c r="T33" i="2"/>
  <c r="S33" i="2"/>
  <c r="P33" i="2"/>
  <c r="N33" i="2"/>
  <c r="V32" i="2"/>
  <c r="U32" i="2"/>
  <c r="T32" i="2"/>
  <c r="S32" i="2"/>
  <c r="P32" i="2"/>
  <c r="N32" i="2"/>
  <c r="V31" i="2"/>
  <c r="U31" i="2"/>
  <c r="T31" i="2"/>
  <c r="S31" i="2"/>
  <c r="P31" i="2"/>
  <c r="N31" i="2"/>
  <c r="V30" i="2"/>
  <c r="U30" i="2"/>
  <c r="T30" i="2"/>
  <c r="S30" i="2"/>
  <c r="P30" i="2"/>
  <c r="N30" i="2"/>
  <c r="V29" i="2"/>
  <c r="U29" i="2"/>
  <c r="T29" i="2"/>
  <c r="S29" i="2"/>
  <c r="P29" i="2"/>
  <c r="N29" i="2"/>
  <c r="V28" i="2"/>
  <c r="U28" i="2"/>
  <c r="T28" i="2"/>
  <c r="S28" i="2"/>
  <c r="P28" i="2"/>
  <c r="N28" i="2"/>
  <c r="V27" i="2"/>
  <c r="U27" i="2"/>
  <c r="T27" i="2"/>
  <c r="S27" i="2"/>
  <c r="P27" i="2"/>
  <c r="N27" i="2"/>
  <c r="V26" i="2"/>
  <c r="U26" i="2"/>
  <c r="T26" i="2"/>
  <c r="S26" i="2"/>
  <c r="P26" i="2"/>
  <c r="N26" i="2"/>
  <c r="V25" i="2"/>
  <c r="U25" i="2"/>
  <c r="T25" i="2"/>
  <c r="S25" i="2"/>
  <c r="P25" i="2"/>
  <c r="N25" i="2"/>
  <c r="V24" i="2"/>
  <c r="U24" i="2"/>
  <c r="T24" i="2"/>
  <c r="S24" i="2"/>
  <c r="P24" i="2"/>
  <c r="N24" i="2"/>
  <c r="V23" i="2"/>
  <c r="U23" i="2"/>
  <c r="T23" i="2"/>
  <c r="S23" i="2"/>
  <c r="P23" i="2"/>
  <c r="N23" i="2"/>
  <c r="V22" i="2"/>
  <c r="U22" i="2"/>
  <c r="T22" i="2"/>
  <c r="S22" i="2"/>
  <c r="P22" i="2"/>
  <c r="N22" i="2"/>
  <c r="V21" i="2"/>
  <c r="U21" i="2"/>
  <c r="T21" i="2"/>
  <c r="S21" i="2"/>
  <c r="P21" i="2"/>
  <c r="N21" i="2"/>
  <c r="V20" i="2"/>
  <c r="U20" i="2"/>
  <c r="T20" i="2"/>
  <c r="S20" i="2"/>
  <c r="P20" i="2"/>
  <c r="N20" i="2"/>
  <c r="V19" i="2"/>
  <c r="U19" i="2"/>
  <c r="T19" i="2"/>
  <c r="S19" i="2"/>
  <c r="P19" i="2"/>
  <c r="N19" i="2"/>
  <c r="V18" i="2"/>
  <c r="U18" i="2"/>
  <c r="T18" i="2"/>
  <c r="S18" i="2"/>
  <c r="P18" i="2"/>
  <c r="N18" i="2"/>
  <c r="V17" i="2"/>
  <c r="U17" i="2"/>
  <c r="T17" i="2"/>
  <c r="S17" i="2"/>
  <c r="P17" i="2"/>
  <c r="N17" i="2"/>
  <c r="V16" i="2"/>
  <c r="U16" i="2"/>
  <c r="T16" i="2"/>
  <c r="S16" i="2"/>
  <c r="P16" i="2"/>
  <c r="N16" i="2"/>
  <c r="V15" i="2"/>
  <c r="U15" i="2"/>
  <c r="T15" i="2"/>
  <c r="S15" i="2"/>
  <c r="P15" i="2"/>
  <c r="N15" i="2"/>
  <c r="V14" i="2"/>
  <c r="U14" i="2"/>
  <c r="T14" i="2"/>
  <c r="S14" i="2"/>
  <c r="P14" i="2"/>
  <c r="N14" i="2"/>
  <c r="V13" i="2"/>
  <c r="U13" i="2"/>
  <c r="T13" i="2"/>
  <c r="S13" i="2"/>
  <c r="P13" i="2"/>
  <c r="N13" i="2"/>
  <c r="V12" i="2"/>
  <c r="U12" i="2"/>
  <c r="T12" i="2"/>
  <c r="S12" i="2"/>
  <c r="P12" i="2"/>
  <c r="N12" i="2"/>
  <c r="V11" i="2"/>
  <c r="U11" i="2"/>
  <c r="T11" i="2"/>
  <c r="S11" i="2"/>
  <c r="P11" i="2"/>
  <c r="N11" i="2"/>
  <c r="V10" i="2"/>
  <c r="U10" i="2"/>
  <c r="T10" i="2"/>
  <c r="S10" i="2"/>
  <c r="P10" i="2"/>
  <c r="N10" i="2"/>
  <c r="V9" i="2"/>
  <c r="U9" i="2"/>
  <c r="T9" i="2"/>
  <c r="S9" i="2"/>
  <c r="P9" i="2"/>
  <c r="N9" i="2"/>
  <c r="V8" i="2"/>
  <c r="U8" i="2"/>
  <c r="T8" i="2"/>
  <c r="S8" i="2"/>
  <c r="P8" i="2"/>
  <c r="N8" i="2"/>
  <c r="V7" i="2"/>
  <c r="U7" i="2"/>
  <c r="T7" i="2"/>
  <c r="S7" i="2"/>
  <c r="P7" i="2"/>
  <c r="N7" i="2"/>
  <c r="V6" i="2"/>
  <c r="U6" i="2"/>
  <c r="T6" i="2"/>
  <c r="S6" i="2"/>
  <c r="P6" i="2"/>
  <c r="N6" i="2"/>
  <c r="V5" i="2"/>
  <c r="U5" i="2"/>
  <c r="T5" i="2"/>
  <c r="S5" i="2"/>
  <c r="P5" i="2"/>
  <c r="N5" i="2"/>
  <c r="V4" i="2"/>
  <c r="U4" i="2"/>
  <c r="T4" i="2"/>
  <c r="S4" i="2"/>
  <c r="P4" i="2"/>
  <c r="N4" i="2"/>
  <c r="I10" i="7" l="1"/>
  <c r="H5" i="4"/>
  <c r="B5" i="4"/>
  <c r="I9" i="7"/>
  <c r="I7" i="7"/>
  <c r="I5" i="7"/>
  <c r="G5" i="7"/>
  <c r="G9" i="7"/>
  <c r="G8" i="7"/>
  <c r="G7" i="7"/>
  <c r="I6" i="7"/>
  <c r="G6" i="7"/>
  <c r="G47" i="4"/>
  <c r="G46" i="4"/>
  <c r="G45" i="4"/>
  <c r="G42" i="4"/>
  <c r="F48" i="4"/>
  <c r="F47" i="4"/>
  <c r="F46" i="4"/>
  <c r="F45" i="4"/>
  <c r="F43" i="4"/>
  <c r="F42" i="4"/>
  <c r="G38" i="4"/>
  <c r="G37" i="4"/>
  <c r="H18" i="4"/>
  <c r="F44" i="4"/>
  <c r="E59" i="4"/>
  <c r="I26" i="4"/>
  <c r="E27" i="8"/>
  <c r="E26" i="8"/>
  <c r="E25" i="8"/>
  <c r="E24" i="8"/>
  <c r="E23" i="8"/>
  <c r="E22" i="8"/>
  <c r="E21" i="8"/>
  <c r="E20" i="8"/>
  <c r="E19" i="8"/>
  <c r="E18" i="8"/>
  <c r="E17" i="8"/>
  <c r="H11" i="7"/>
  <c r="H10" i="7"/>
  <c r="H8" i="7"/>
  <c r="H7" i="7"/>
  <c r="C14" i="6"/>
  <c r="E43" i="4"/>
  <c r="G43" i="4" s="1"/>
  <c r="F37" i="4"/>
  <c r="E16" i="8"/>
  <c r="E15" i="8"/>
  <c r="E14" i="8"/>
  <c r="E13" i="8"/>
  <c r="E12" i="8"/>
  <c r="E11" i="8"/>
  <c r="E10" i="8"/>
  <c r="E9" i="8"/>
  <c r="E8" i="8"/>
  <c r="E7" i="8"/>
  <c r="E6" i="8"/>
  <c r="E5" i="8"/>
  <c r="E4" i="8"/>
  <c r="H16" i="7"/>
  <c r="F16" i="7"/>
  <c r="E16" i="7"/>
  <c r="D16" i="7"/>
  <c r="H15" i="7"/>
  <c r="H14" i="7"/>
  <c r="H13" i="7"/>
  <c r="H12" i="7"/>
  <c r="H9" i="7"/>
  <c r="H6" i="7"/>
  <c r="E58" i="4"/>
  <c r="E57" i="4"/>
  <c r="G26" i="4"/>
  <c r="F26" i="4"/>
  <c r="E26" i="4"/>
  <c r="D26" i="4"/>
  <c r="H17" i="4"/>
  <c r="J24" i="3"/>
  <c r="I24" i="3"/>
  <c r="H24" i="3"/>
  <c r="G24" i="3"/>
  <c r="F24" i="3"/>
  <c r="D24" i="3"/>
  <c r="C24" i="3"/>
  <c r="B24" i="3"/>
  <c r="J23" i="3"/>
  <c r="I23" i="3"/>
  <c r="H23" i="3"/>
  <c r="G23" i="3"/>
  <c r="F23" i="3"/>
  <c r="D23" i="3"/>
  <c r="C23" i="3"/>
  <c r="B23" i="3"/>
  <c r="G19" i="3"/>
  <c r="E19" i="3"/>
  <c r="C19" i="3"/>
  <c r="B19" i="3"/>
  <c r="B15" i="3"/>
  <c r="B12" i="3"/>
  <c r="I11" i="3"/>
  <c r="H11" i="3"/>
  <c r="G11" i="3"/>
  <c r="F11" i="3"/>
  <c r="E11" i="3"/>
  <c r="D11" i="3"/>
  <c r="C11" i="3"/>
  <c r="B11" i="3"/>
  <c r="I8" i="3"/>
  <c r="H8" i="3"/>
  <c r="G8" i="3"/>
  <c r="F8" i="3"/>
  <c r="E8" i="3"/>
  <c r="D8" i="3"/>
  <c r="C8" i="3"/>
  <c r="B8" i="3"/>
  <c r="E14" i="6"/>
  <c r="B5" i="5"/>
  <c r="E56" i="4"/>
  <c r="E55" i="4"/>
  <c r="E54" i="4"/>
  <c r="E53" i="4"/>
  <c r="E48" i="4"/>
  <c r="G48" i="4" s="1"/>
  <c r="E44" i="4"/>
  <c r="G44" i="4" s="1"/>
  <c r="I8" i="7"/>
  <c r="H5" i="7"/>
  <c r="J14" i="6"/>
  <c r="I14" i="6"/>
  <c r="G14" i="6"/>
  <c r="F14" i="6"/>
  <c r="D14" i="6"/>
  <c r="H5" i="6"/>
  <c r="H14" i="6" s="1"/>
  <c r="E52" i="4"/>
  <c r="H26" i="4" l="1"/>
  <c r="G16" i="7"/>
  <c r="E58" i="8"/>
  <c r="I16" i="7"/>
</calcChain>
</file>

<file path=xl/sharedStrings.xml><?xml version="1.0" encoding="utf-8"?>
<sst xmlns="http://schemas.openxmlformats.org/spreadsheetml/2006/main" count="1929" uniqueCount="495">
  <si>
    <t>PRODUCT CONTROL</t>
  </si>
  <si>
    <t xml:space="preserve">📦  TATA — ORDER DATA  </t>
  </si>
  <si>
    <t>Vulcan
Order (PO)</t>
  </si>
  <si>
    <t>Material</t>
  </si>
  <si>
    <t>Designation</t>
  </si>
  <si>
    <t>Order
Date</t>
  </si>
  <si>
    <t>ETA to TETE</t>
  </si>
  <si>
    <t>Qty
Ordered</t>
  </si>
  <si>
    <t>Read to Deliver</t>
  </si>
  <si>
    <t>🔵 AZUL=preencha  🟢 VERDE=automático  🟣 ROXO=entrega cliente  ➕ Copie linha para novos pedidos</t>
  </si>
  <si>
    <t>Order
Line</t>
  </si>
  <si>
    <t>SKF Order</t>
  </si>
  <si>
    <t>TATA
Order</t>
  </si>
  <si>
    <t xml:space="preserve">Material </t>
  </si>
  <si>
    <t xml:space="preserve"> Designation</t>
  </si>
  <si>
    <t>Short Text</t>
  </si>
  <si>
    <t>Est. SKF
Delivery Date</t>
  </si>
  <si>
    <t>Warehouse</t>
  </si>
  <si>
    <t>Qty
Shipped</t>
  </si>
  <si>
    <t>%
Shipped</t>
  </si>
  <si>
    <t>Unit
Price</t>
  </si>
  <si>
    <t>Line
Total USD</t>
  </si>
  <si>
    <t>Invoice
No.</t>
  </si>
  <si>
    <t>Status</t>
  </si>
  <si>
    <t>Days to
Delivery</t>
  </si>
  <si>
    <t>Month/Year</t>
  </si>
  <si>
    <t>Est. Customer
Delivery Month</t>
  </si>
  <si>
    <t>Qty
Pending</t>
  </si>
  <si>
    <t>Customer
ID</t>
  </si>
  <si>
    <t>SKF Collection
Date</t>
  </si>
  <si>
    <t>✔ Delivered
to Customer</t>
  </si>
  <si>
    <t>Customer
Delivery Date</t>
  </si>
  <si>
    <t>Notes</t>
  </si>
  <si>
    <t>0003A</t>
  </si>
  <si>
    <t>26Z0000099</t>
  </si>
  <si>
    <t>HA 3128</t>
  </si>
  <si>
    <t>BRG BUSHING ADAPTER 125.41MM HA 3128 SKF</t>
  </si>
  <si>
    <t>EMWH</t>
  </si>
  <si>
    <t>COLLECTED</t>
  </si>
  <si>
    <t>F66050</t>
  </si>
  <si>
    <t>✔</t>
  </si>
  <si>
    <t>0005A</t>
  </si>
  <si>
    <t>252911949</t>
  </si>
  <si>
    <t>COP.ATL160M</t>
  </si>
  <si>
    <t>LABYRINTH SEAL 160MMATL TIMKEN</t>
  </si>
  <si>
    <t>12611</t>
  </si>
  <si>
    <t>0006A</t>
  </si>
  <si>
    <t>COP.01EB180MGR</t>
  </si>
  <si>
    <t>BALL BRNG 01 B 180MM GR COOPER</t>
  </si>
  <si>
    <t>12660</t>
  </si>
  <si>
    <t>0001A</t>
  </si>
  <si>
    <t>26Z0000097</t>
  </si>
  <si>
    <t>252911950</t>
  </si>
  <si>
    <t>6322/C3VL0241</t>
  </si>
  <si>
    <t>DEEP GROOVE BALL BEARING - INSOCOAT 6322</t>
  </si>
  <si>
    <t>✘</t>
  </si>
  <si>
    <t>Delivery on the 8.06.2026</t>
  </si>
  <si>
    <t>25Z0002759</t>
  </si>
  <si>
    <t>252911760</t>
  </si>
  <si>
    <t>COP.01EB125MGR</t>
  </si>
  <si>
    <t>CYL ROLL BRG 01 B 125M GR COOPER</t>
  </si>
  <si>
    <t>12403</t>
  </si>
  <si>
    <t>CL RL BRG 01 B 180M GR COOPER BEARINGS</t>
  </si>
  <si>
    <t>26Z0000402</t>
  </si>
  <si>
    <t>262910345</t>
  </si>
  <si>
    <t>COP.01EB140MGR</t>
  </si>
  <si>
    <t>CL RL BRG 01 B 140M GR COOPER BEARINGS</t>
  </si>
  <si>
    <t>0000000</t>
  </si>
  <si>
    <t>SHS</t>
  </si>
  <si>
    <t>Expected delivery at SKF July 7</t>
  </si>
  <si>
    <t>COP.02EB180MGR</t>
  </si>
  <si>
    <t>CL RL BRG 02 B 180M GR COOPER BEARINGS</t>
  </si>
  <si>
    <t>RPI</t>
  </si>
  <si>
    <t>0009A</t>
  </si>
  <si>
    <t>0002B</t>
  </si>
  <si>
    <t>26Z0000382</t>
  </si>
  <si>
    <t>262910320</t>
  </si>
  <si>
    <t>SRV.NU 407</t>
  </si>
  <si>
    <t>CYL ROL BEARING</t>
  </si>
  <si>
    <t>Requested from EDC dispatch date</t>
  </si>
  <si>
    <t>0004A</t>
  </si>
  <si>
    <t>26Z0000383</t>
  </si>
  <si>
    <t>262910319</t>
  </si>
  <si>
    <t>CYL ROLL BRG MSM180BR TIMKEN</t>
  </si>
  <si>
    <t>Requested for improved production</t>
  </si>
  <si>
    <t>COP.02EB220MGR</t>
  </si>
  <si>
    <t>CYL ROLL BRG MSM220BR TIMKEN</t>
  </si>
  <si>
    <t>0007A</t>
  </si>
  <si>
    <t>70X110X10 HMSA10 RG</t>
  </si>
  <si>
    <t>LIP SEAL FKM 70MM 110MM</t>
  </si>
  <si>
    <t>25.06.2026 ETA - SANR0409719</t>
  </si>
  <si>
    <t>0002A</t>
  </si>
  <si>
    <t>26Z0000279</t>
  </si>
  <si>
    <t>252912134</t>
  </si>
  <si>
    <t>24152 CC/W33</t>
  </si>
  <si>
    <t>BEARING 24152 CC/W33 SKF</t>
  </si>
  <si>
    <t>Request to order directly from factory - Cephas to change order</t>
  </si>
  <si>
    <t>0002C</t>
  </si>
  <si>
    <t>26Z0000280</t>
  </si>
  <si>
    <t>262910001</t>
  </si>
  <si>
    <t>CMPT 2310TX20</t>
  </si>
  <si>
    <t>SENSOR INTEGRATED CABLE; CMPT 2310TX20</t>
  </si>
  <si>
    <t>Requested for production improvement , no global availability</t>
  </si>
  <si>
    <t>26Z0000240</t>
  </si>
  <si>
    <t>252912296</t>
  </si>
  <si>
    <t>PHF TB4545X65MM</t>
  </si>
  <si>
    <t>LCKG BUSH 65MM</t>
  </si>
  <si>
    <t>RBK</t>
  </si>
  <si>
    <t>Awaiting improvement from Factory</t>
  </si>
  <si>
    <t>26Z0000428</t>
  </si>
  <si>
    <t>262910449</t>
  </si>
  <si>
    <t>ASNH 526</t>
  </si>
  <si>
    <t>SIDE COVER ASNH 526 SKF</t>
  </si>
  <si>
    <t>QZSS</t>
  </si>
  <si>
    <t>READY FOR COLLECTION</t>
  </si>
  <si>
    <t>2026-06-09 - SKF informed that it is available for collection.</t>
  </si>
  <si>
    <t>OH 3152 H</t>
  </si>
  <si>
    <t>ADAPTER SLEEVE;OH 3152 H;SKF</t>
  </si>
  <si>
    <t>0008A</t>
  </si>
  <si>
    <t>22316 E/C3</t>
  </si>
  <si>
    <t>BEARING 22316 E C3 SKF</t>
  </si>
  <si>
    <t>H 318</t>
  </si>
  <si>
    <t>ADAPTER SLEEVE H 318 SKF</t>
  </si>
  <si>
    <t>0010A</t>
  </si>
  <si>
    <t>0011A</t>
  </si>
  <si>
    <t>26Z0000126</t>
  </si>
  <si>
    <t>252911981</t>
  </si>
  <si>
    <t>TU 50 TF</t>
  </si>
  <si>
    <t>BEARING UNIT NON-LOC PASS SPLIT PED</t>
  </si>
  <si>
    <t>12545</t>
  </si>
  <si>
    <t>Gate Pass Issue (Still it is in TATA Stock)</t>
  </si>
  <si>
    <t>0013A</t>
  </si>
  <si>
    <t>22240 CC/W33</t>
  </si>
  <si>
    <t>BEARING 22240 CC/W33 SKF</t>
  </si>
  <si>
    <t>12632</t>
  </si>
  <si>
    <t>0014A</t>
  </si>
  <si>
    <t>SNL 518-615</t>
  </si>
  <si>
    <t>PILLOW BLOCK NOD CI 80MM SNL 518-615 SKF</t>
  </si>
  <si>
    <t>12723</t>
  </si>
  <si>
    <t>0015A</t>
  </si>
  <si>
    <t>22218 EK</t>
  </si>
  <si>
    <t>SPHERICAL ROLLER BEARING 22218 EK</t>
  </si>
  <si>
    <t>0016A</t>
  </si>
  <si>
    <t>0017A</t>
  </si>
  <si>
    <t>TXL 518</t>
  </si>
  <si>
    <t>SEAL TSN518 TK SKF</t>
  </si>
  <si>
    <t>0018A</t>
  </si>
  <si>
    <t>FRB 12.5/160</t>
  </si>
  <si>
    <t>LOCATING RING FRB 12.5/160</t>
  </si>
  <si>
    <t>30230</t>
  </si>
  <si>
    <t>ROLL BEARING 30230 A FAG</t>
  </si>
  <si>
    <t>12568</t>
  </si>
  <si>
    <t>23056 CCK/W33</t>
  </si>
  <si>
    <t>BEARING 23056 CCK/W33 SKF</t>
  </si>
  <si>
    <t>FRB 13/230</t>
  </si>
  <si>
    <t>RING FRB 13/230 SKF</t>
  </si>
  <si>
    <t>0006B</t>
  </si>
  <si>
    <t>32324</t>
  </si>
  <si>
    <t>ROLL BEARING 32324J2 SKF</t>
  </si>
  <si>
    <t>23138 CCK/W33</t>
  </si>
  <si>
    <t>BEARING 23138 CC K W33 SKF</t>
  </si>
  <si>
    <t>23140 CCK/W33</t>
  </si>
  <si>
    <t>BEARING 23140 CC K W33 SKF</t>
  </si>
  <si>
    <t>26Z0000174</t>
  </si>
  <si>
    <t>252912114</t>
  </si>
  <si>
    <t>6319/C3</t>
  </si>
  <si>
    <t>BALL BRNG 6319/C3 SKF</t>
  </si>
  <si>
    <t>12622</t>
  </si>
  <si>
    <t>NU 234 ECML/C3</t>
  </si>
  <si>
    <t>CL RL BRG NU 234 M C3 SKF</t>
  </si>
  <si>
    <t>0003B</t>
  </si>
  <si>
    <t>COP.01EB150MGR</t>
  </si>
  <si>
    <t>CL RL BRG 01 B 150M GR COPPER BEARINGS</t>
  </si>
  <si>
    <t>12661</t>
  </si>
  <si>
    <t>6316/C3</t>
  </si>
  <si>
    <t>BALL BRNG 6316 C3 SKF</t>
  </si>
  <si>
    <t>12431</t>
  </si>
  <si>
    <t>23232 CCK/W33</t>
  </si>
  <si>
    <t>BEARING 23232 CCK/W33 SKF</t>
  </si>
  <si>
    <t>6216/C3</t>
  </si>
  <si>
    <t>BALL BRNG 6216 - C3 SKF</t>
  </si>
  <si>
    <t>2217 K</t>
  </si>
  <si>
    <t>BALL BRNG 2217 K SKF</t>
  </si>
  <si>
    <t>CL RL BRG 01 B150M COOPER</t>
  </si>
  <si>
    <t>32230</t>
  </si>
  <si>
    <t>BEARING;TAPERED ROLLER;32230JR;KOYO</t>
  </si>
  <si>
    <t>NU 2213 ECJ</t>
  </si>
  <si>
    <t>CL RL BRG NU2213E SKF</t>
  </si>
  <si>
    <t>FY 1.7/16 TF</t>
  </si>
  <si>
    <t>BEARING UNIT SQUARE FLANGED</t>
  </si>
  <si>
    <t>H 3136</t>
  </si>
  <si>
    <t>BRG BUSHING FIXAT 160MM</t>
  </si>
  <si>
    <t>0004B</t>
  </si>
  <si>
    <t>TSN 526 S</t>
  </si>
  <si>
    <t>SEAL TSN526S SKF</t>
  </si>
  <si>
    <t>Checking if factory can assist with stock</t>
  </si>
  <si>
    <t>0004C</t>
  </si>
  <si>
    <t>0004D</t>
  </si>
  <si>
    <t>26Z0000381</t>
  </si>
  <si>
    <t>262910321</t>
  </si>
  <si>
    <t>Stock shipped from EDC - Awaiting shipping details</t>
  </si>
  <si>
    <t>22326 CCJA/W33VA405</t>
  </si>
  <si>
    <t>BEARING 22326 CC JA C4 W33 VA405 SKF</t>
  </si>
  <si>
    <t>Stock is in RPI in Belguim , will be shipped out this week</t>
  </si>
  <si>
    <t>26Z0000422</t>
  </si>
  <si>
    <t>262910469</t>
  </si>
  <si>
    <t>COP.SDQ3140</t>
  </si>
  <si>
    <t>BEARING;SANDVIK;01BC SD3140 GR TL</t>
  </si>
  <si>
    <t>26L0024238 / LOCAL</t>
  </si>
  <si>
    <t>Will be shipped out today , awaiting shipment details</t>
  </si>
  <si>
    <t>22226 EK/C3</t>
  </si>
  <si>
    <t>BEARING 22226 CCK W33 SKF</t>
  </si>
  <si>
    <t>H 3140</t>
  </si>
  <si>
    <t>BRG BUSHING FIXAT 180MM H 3140 SKF</t>
  </si>
  <si>
    <t>COP.ATL170M</t>
  </si>
  <si>
    <t>LABYRINTH SEAL 170MMATL TIMKEN</t>
  </si>
  <si>
    <t>Requested for availability USA</t>
  </si>
  <si>
    <t>PHF TB5040X100MM</t>
  </si>
  <si>
    <t>BUSH, TAPER LOCK;5040,100mm,101,6mm,SKF</t>
  </si>
  <si>
    <t>BOK</t>
  </si>
  <si>
    <t xml:space="preserve">No Availability - Reached out to factory </t>
  </si>
  <si>
    <t>26Z0000410</t>
  </si>
  <si>
    <t>CMSS 943-LCI-SY-20M</t>
  </si>
  <si>
    <t>CABLE ASSEMBLY; CMSS 943-LCI-SY-20M; SKF</t>
  </si>
  <si>
    <t>No stock availability - Current ETA 04.08.2026 - Requested for improvement</t>
  </si>
  <si>
    <t>ENT</t>
  </si>
  <si>
    <t>No stock availability - Requested for factory acknowledgement</t>
  </si>
  <si>
    <t>EDC has stock requested for confirmation</t>
  </si>
  <si>
    <t>0019A</t>
  </si>
  <si>
    <t>No global availability - Requested for confirmation</t>
  </si>
  <si>
    <t>26Z0000386</t>
  </si>
  <si>
    <t>262910319A</t>
  </si>
  <si>
    <t>12675</t>
  </si>
  <si>
    <t>26Z0000304</t>
  </si>
  <si>
    <t>262910137</t>
  </si>
  <si>
    <t>NU 2228 ECML/C3</t>
  </si>
  <si>
    <t>CYLINDRICAL ROLLER BEARING NU 2228 ECML/C3</t>
  </si>
  <si>
    <t>12562</t>
  </si>
  <si>
    <t>26Z0000291</t>
  </si>
  <si>
    <t>262910021</t>
  </si>
  <si>
    <t>12720</t>
  </si>
  <si>
    <t>22328 CCJA/W33VA405</t>
  </si>
  <si>
    <t>BEARING 22328 CC JA C4 W33 VA405 SKF</t>
  </si>
  <si>
    <t>6216-2Z/C3</t>
  </si>
  <si>
    <t>BEARING, BALL;DEEP GROOVE, 6216-2Z/C3,1</t>
  </si>
  <si>
    <t>31310/CL7C</t>
  </si>
  <si>
    <t>ROLL BEARING 31310 J2 Q CL7C SKF</t>
  </si>
  <si>
    <t>TBEW</t>
  </si>
  <si>
    <t>30314</t>
  </si>
  <si>
    <t>ROLL BEARING 30314 J2 Q SKF</t>
  </si>
  <si>
    <t>BEARING 6316-C3;FRAME 250S/M;WEG</t>
  </si>
  <si>
    <t>NU 319 ECJ/C3</t>
  </si>
  <si>
    <t>CYLIND ROLLER BEARING_NU_319_C3-SKF</t>
  </si>
  <si>
    <t>22226 EK</t>
  </si>
  <si>
    <t>12610</t>
  </si>
  <si>
    <t>12679</t>
  </si>
  <si>
    <t>240X270X15 HMSA10 RG</t>
  </si>
  <si>
    <t>LIP SEAL FKM 240MM 270MM</t>
  </si>
  <si>
    <t>12643</t>
  </si>
  <si>
    <t xml:space="preserve">Still waiting for Transporter &amp; SKF to confirm the ETA and Material details. </t>
  </si>
  <si>
    <t>PHF TB2517X50MM</t>
  </si>
  <si>
    <t>LCKG BUSH 50MM</t>
  </si>
  <si>
    <t>PHF TB4545X80MM</t>
  </si>
  <si>
    <t>LOCKING BUSH 80MM</t>
  </si>
  <si>
    <t>110X150X12 HMSA10 RG</t>
  </si>
  <si>
    <t>OIL SEAL,110x150x12mm,110x150x12HMSA10RG</t>
  </si>
  <si>
    <t>63X85X10 HMS5 RG</t>
  </si>
  <si>
    <t>SEAL, OIL;63mm,85mm,10mm</t>
  </si>
  <si>
    <t>140X170X12 HMSA10 RG</t>
  </si>
  <si>
    <t>SEAL(RADIAL SHAFT) 140X170X12;BE275739</t>
  </si>
  <si>
    <t>118X150X12 HMS5 RG</t>
  </si>
  <si>
    <t>FKM SEAL RETAINER 118MM 150MM</t>
  </si>
  <si>
    <t>150X180X15 HMSA10 RG</t>
  </si>
  <si>
    <t>LIP SEAL NBR 150MM 180MM</t>
  </si>
  <si>
    <t>0012A</t>
  </si>
  <si>
    <t>6304-2Z</t>
  </si>
  <si>
    <t>BALL BRNG 6304 2Z WT C3 SKF</t>
  </si>
  <si>
    <t>26Z0000242</t>
  </si>
  <si>
    <t>252912295</t>
  </si>
  <si>
    <t>6022</t>
  </si>
  <si>
    <t>BALL BRNG 6022 SKF</t>
  </si>
  <si>
    <t>12721</t>
  </si>
  <si>
    <t>NU 2317 ECJ</t>
  </si>
  <si>
    <t>CYL ROLL BRG NU2317C3 NTN</t>
  </si>
  <si>
    <t>II01</t>
  </si>
  <si>
    <t>6034 M</t>
  </si>
  <si>
    <t>BALL BRNG 6034 M SKF</t>
  </si>
  <si>
    <t>22320 E/C3</t>
  </si>
  <si>
    <t>BEARING 22320 CC/W33 C3 SKF</t>
  </si>
  <si>
    <t>12722</t>
  </si>
  <si>
    <t>26Z0000170</t>
  </si>
  <si>
    <t>31315</t>
  </si>
  <si>
    <t>ROLL BEARING 31315 FAG</t>
  </si>
  <si>
    <t>12613</t>
  </si>
  <si>
    <t>SNL 520-617</t>
  </si>
  <si>
    <t>PILLOW BLOCK CI 90MM</t>
  </si>
  <si>
    <t>25.06.2026 - ETA - SANR0409719</t>
  </si>
  <si>
    <t>NU 234 ECM/C3</t>
  </si>
  <si>
    <t>70X90X10 HMSA10 RG</t>
  </si>
  <si>
    <t>NBR SEAL RETAINER 70MM 90MM</t>
  </si>
  <si>
    <t>32311</t>
  </si>
  <si>
    <t>ROLL BEARING 32311 SKF</t>
  </si>
  <si>
    <t>FRB 10/320</t>
  </si>
  <si>
    <t>LOCATING RING FRB 10/320 SKF</t>
  </si>
  <si>
    <t>QJ 228 N2MA</t>
  </si>
  <si>
    <t>ANGULAR CONTACT BALL BEARING QJ 228 N2MA</t>
  </si>
  <si>
    <t>05.06.2026 - ETA - SANR0409714</t>
  </si>
  <si>
    <t>0001B</t>
  </si>
  <si>
    <t>CMSS 942-LCI-SY-20M</t>
  </si>
  <si>
    <t>CABLE ASSEMBLY; CMSS 942-LCT-SY-20M; SKF</t>
  </si>
  <si>
    <t>26Z0000474</t>
  </si>
  <si>
    <t>24144CC/W33</t>
  </si>
  <si>
    <t>SPHERICAL ROLLER BEARING, 24144CC/W33</t>
  </si>
  <si>
    <t>ALL</t>
  </si>
  <si>
    <t xml:space="preserve">22248CC/W33 </t>
  </si>
  <si>
    <t xml:space="preserve">SPHERICAL ROLLER BEARING, 22248CC/W33 </t>
  </si>
  <si>
    <t>SI 20E SKF</t>
  </si>
  <si>
    <t>FEMALE ROD END BEARING, SI 20E SKF</t>
  </si>
  <si>
    <t>BUSH-5040 110</t>
  </si>
  <si>
    <t>TAPER BUSHING 5040 X 110 MM</t>
  </si>
  <si>
    <t>BUSH-4545 90</t>
  </si>
  <si>
    <t>TAPER BUSHING 4545 X 90 MM</t>
  </si>
  <si>
    <t>LSM200BRTTIM</t>
  </si>
  <si>
    <t>SPLIT CYLINDRICAL ROLLER BEARING, LSM200</t>
  </si>
  <si>
    <t>MSM170HRTL</t>
  </si>
  <si>
    <t>LABYRINTH SEAL RING, MSM170HRTL</t>
  </si>
  <si>
    <t xml:space="preserve">SD32 TIMKEN </t>
  </si>
  <si>
    <t>SPLIT PLUMMER BLOCK HOUSING, SD32</t>
  </si>
  <si>
    <t xml:space="preserve">NU 2203 ECP </t>
  </si>
  <si>
    <t>SG ROW CYLIND. ROLLER BEARING, NU 2203</t>
  </si>
  <si>
    <t xml:space="preserve">6007-RS1 SKF </t>
  </si>
  <si>
    <t>SG ROW DEEP GROOVE BALL BEARING, 6007</t>
  </si>
  <si>
    <t xml:space="preserve">6309 C3 SKF </t>
  </si>
  <si>
    <t>SG ROW DEEP GROOVE BALL BEARING, 6309</t>
  </si>
  <si>
    <t xml:space="preserve">6009 Z SKF </t>
  </si>
  <si>
    <t>SG ROW DEEP GROOVE BALL BEARING, 6009</t>
  </si>
  <si>
    <t xml:space="preserve">23038 CC W33 </t>
  </si>
  <si>
    <t>SPHERICAL ROLLER BEARING, 23038 CC W33</t>
  </si>
  <si>
    <t xml:space="preserve">ETS 44 SKF|1 </t>
  </si>
  <si>
    <t>END CR FOR PLUMMER BLOCK HOUSING, ETS 44</t>
  </si>
  <si>
    <t>24144 CC/W33</t>
  </si>
  <si>
    <t>31181602-SKF</t>
  </si>
  <si>
    <t>V-RING SEAL, 31181602-SKF</t>
  </si>
  <si>
    <t xml:space="preserve">220 VA </t>
  </si>
  <si>
    <t xml:space="preserve">V-RING SEAL, 220 VA </t>
  </si>
  <si>
    <t>V,RING SEAL 190X210X25-PN 31181602-SKF</t>
  </si>
  <si>
    <t>09-06-2026 - Vulcan's request for a quote on the items (sent to Mel) - Naftal Bute</t>
  </si>
  <si>
    <t>SEAL, RING;V,V-RING SEAL, DESIGN VA190</t>
  </si>
  <si>
    <t>V RING CR401706 SKF</t>
  </si>
  <si>
    <t>09-06-2026 - Item not quoted by SKF (no accurate item description)</t>
  </si>
  <si>
    <t>22222-E1A-M-C3</t>
  </si>
  <si>
    <t>BEARING 22222-E1A-M-C3 FAG</t>
  </si>
  <si>
    <t>6300-2Z-SKF</t>
  </si>
  <si>
    <t>BALL BEARING-DEEP GROOVE-REF 6300-2Z-SKF</t>
  </si>
  <si>
    <t xml:space="preserve"> 22344 EJW33W</t>
  </si>
  <si>
    <t>ROLAMENTO 22344 EJW33W45A TIMKEN</t>
  </si>
  <si>
    <t>🔍  QUICK ORDER LOOKUP</t>
  </si>
  <si>
    <t>SEARCH TYPE</t>
  </si>
  <si>
    <t>← CODE / NUMBER (Type here)</t>
  </si>
  <si>
    <t xml:space="preserve">  📋  ORDER IDENTIFICATION</t>
  </si>
  <si>
    <t>Line</t>
  </si>
  <si>
    <t>TATA Order</t>
  </si>
  <si>
    <t>Vulcan PO</t>
  </si>
  <si>
    <t>Order Date</t>
  </si>
  <si>
    <t>SKF Delivery Date</t>
  </si>
  <si>
    <t>Days</t>
  </si>
  <si>
    <t>Invoice No.</t>
  </si>
  <si>
    <t>Unit Price</t>
  </si>
  <si>
    <t>Qty Ordered</t>
  </si>
  <si>
    <t>Qty Shipped</t>
  </si>
  <si>
    <t>Qty Pending</t>
  </si>
  <si>
    <t>SKF Designation</t>
  </si>
  <si>
    <t xml:space="preserve">  💰  LINE TOTAL (USD)</t>
  </si>
  <si>
    <t xml:space="preserve">  ✔  CUSTOMER DELIVERY</t>
  </si>
  <si>
    <t>Delivery Status</t>
  </si>
  <si>
    <t>SKF Collection Date</t>
  </si>
  <si>
    <t>Customer Delivery Date</t>
  </si>
  <si>
    <t xml:space="preserve">  📦  ORDER ITEMS</t>
  </si>
  <si>
    <t>#</t>
  </si>
  <si>
    <t>Qty Ord.</t>
  </si>
  <si>
    <t>Qty Shp.</t>
  </si>
  <si>
    <t>💡  Tipo (B4): SKF Order | TATA Order | Vulcan PO | Invoice No.  →  Código em C4  →  Lista de itens atualiza automaticamente</t>
  </si>
  <si>
    <t>📊  TATA — MANAGEMENT DASHBOARD</t>
  </si>
  <si>
    <t>Values calculated automatically from the ORDERS sheet</t>
  </si>
  <si>
    <t>💰 TOTAL VALUE</t>
  </si>
  <si>
    <t>📦 LINES</t>
  </si>
  <si>
    <t>✅ QTY SHIPPED</t>
  </si>
  <si>
    <t>⏳ QTY PENDING</t>
  </si>
  <si>
    <t>📈 % SHIPPED</t>
  </si>
  <si>
    <t>✔ DELIVERED CUST.</t>
  </si>
  <si>
    <t>📅 DUE THIS MONTH</t>
  </si>
  <si>
    <t>📦 Lines</t>
  </si>
  <si>
    <t>💰 Value</t>
  </si>
  <si>
    <t>⏳ Pending</t>
  </si>
  <si>
    <t>✅ Shipped</t>
  </si>
  <si>
    <t>📌 STATUS SUMMARY</t>
  </si>
  <si>
    <t>Description</t>
  </si>
  <si>
    <t>Lines</t>
  </si>
  <si>
    <t>Qty Pend.</t>
  </si>
  <si>
    <t>Value (USD)</t>
  </si>
  <si>
    <t>Delivered</t>
  </si>
  <si>
    <t>Collected</t>
  </si>
  <si>
    <t>Ready for Collection</t>
  </si>
  <si>
    <t>Shipped (SHS)</t>
  </si>
  <si>
    <t>Reserved (BOK)</t>
  </si>
  <si>
    <t>Re-reserved (RBK)</t>
  </si>
  <si>
    <t>Entry (ENT)</t>
  </si>
  <si>
    <t>Re-planned (RPI)</t>
  </si>
  <si>
    <t>Allocated (ALL)</t>
  </si>
  <si>
    <t>BUDGET</t>
  </si>
  <si>
    <t>TOTAL</t>
  </si>
  <si>
    <t>🏭 WAREHOUSE CONTROL</t>
  </si>
  <si>
    <t>Code</t>
  </si>
  <si>
    <t>% Shp.</t>
  </si>
  <si>
    <t>Europe Distribution Center</t>
  </si>
  <si>
    <t>South Africa Warehouse</t>
  </si>
  <si>
    <t>Belgium Warehouse</t>
  </si>
  <si>
    <t>International Warehouse</t>
  </si>
  <si>
    <t>🧾 INVOICE CONTROL</t>
  </si>
  <si>
    <t>Situation</t>
  </si>
  <si>
    <t>No. of Lines</t>
  </si>
  <si>
    <t>% of Total</t>
  </si>
  <si>
    <t>Invoiced</t>
  </si>
  <si>
    <t>Not Invoiced</t>
  </si>
  <si>
    <t>✔ CUSTOMER DELIVERY CONTROL</t>
  </si>
  <si>
    <t>No. of Items</t>
  </si>
  <si>
    <t>% Lines</t>
  </si>
  <si>
    <t>% Value</t>
  </si>
  <si>
    <t>✔ Delivered to Customer</t>
  </si>
  <si>
    <t>✘ Not Delivered</t>
  </si>
  <si>
    <t>📦 With SKF Collection</t>
  </si>
  <si>
    <t>⚠ Attention</t>
  </si>
  <si>
    <t>📅 Current Month Forecast</t>
  </si>
  <si>
    <t>🔮 Forecast for Next Month</t>
  </si>
  <si>
    <t>No Record</t>
  </si>
  <si>
    <t>📅 CONTROL — SKF COLLECTION DATE vs CUSTOMER DELIVERY</t>
  </si>
  <si>
    <t>Note</t>
  </si>
  <si>
    <t>📦 With SKF Collection registered</t>
  </si>
  <si>
    <t>Collection confirmed in system</t>
  </si>
  <si>
    <t>Marked as delivered</t>
  </si>
  <si>
    <t>Marked as attention</t>
  </si>
  <si>
    <t>Forecast for current month</t>
  </si>
  <si>
    <t>Forecast for next month</t>
  </si>
  <si>
    <t>🔗 SKF Collection + Customer Delivery</t>
  </si>
  <si>
    <t>Both registered</t>
  </si>
  <si>
    <t>⏳ Collected — awaiting customer delivery</t>
  </si>
  <si>
    <t>Collection OK, delivery pending</t>
  </si>
  <si>
    <t>❌ No SKF Collection registered</t>
  </si>
  <si>
    <t>Awaiting SKF collection</t>
  </si>
  <si>
    <t>📈  TATA — MANAGEMENT CHARTS</t>
  </si>
  <si>
    <t>F66050 – TATA  |  02/06/2026</t>
  </si>
  <si>
    <t>TOTAL VALUE</t>
  </si>
  <si>
    <t>LINES</t>
  </si>
  <si>
    <t>QTY SHIPPED</t>
  </si>
  <si>
    <t>QTY PENDING</t>
  </si>
  <si>
    <t>% SHIPPED</t>
  </si>
  <si>
    <t>DELIVERED CUST.</t>
  </si>
  <si>
    <t>Value</t>
  </si>
  <si>
    <t>Qty Ord</t>
  </si>
  <si>
    <t>Qty Shp</t>
  </si>
  <si>
    <t>EMWH — Europe Distribution Center</t>
  </si>
  <si>
    <t>II01 — International Warehouse</t>
  </si>
  <si>
    <t>QZSS — South Africa Warehouse</t>
  </si>
  <si>
    <t>TBEW — Belgium Warehouse</t>
  </si>
  <si>
    <t>Qtd</t>
  </si>
  <si>
    <t>Shipped</t>
  </si>
  <si>
    <t>Pending</t>
  </si>
  <si>
    <t>SKF Collected</t>
  </si>
  <si>
    <t>Customer Delivery</t>
  </si>
  <si>
    <t>No Collection/Delivery</t>
  </si>
  <si>
    <t>🔄  DETAILED STATUS CONTROL</t>
  </si>
  <si>
    <t>⚡ Updated automatically via COUNTIF/SUMIF from ORDERS sheet</t>
  </si>
  <si>
    <t>Cust. Del.</t>
  </si>
  <si>
    <t>📅  MONTHLY ANALYSIS — Calculated automatically</t>
  </si>
  <si>
    <t>⚡ Edit B and C to adjust periods.</t>
  </si>
  <si>
    <t>Start Date</t>
  </si>
  <si>
    <t>End Date</t>
  </si>
  <si>
    <t>No. Lines</t>
  </si>
  <si>
    <t>📄  INVOICE CONTROL — Calculated automatically from ORDERS sheet</t>
  </si>
  <si>
    <t>⚡ Updated automatically — each row = one unique Invoice Nº from column Q of ORDERS sheet (excluding 0000000)</t>
  </si>
  <si>
    <t>Invoice Nº</t>
  </si>
  <si>
    <t>Nº Lines</t>
  </si>
  <si>
    <t>Vulcan Order (PO)</t>
  </si>
  <si>
    <t>Total USD</t>
  </si>
  <si>
    <t>Delivered
to Customer</t>
  </si>
  <si>
    <t>12612</t>
  </si>
  <si>
    <t>12452</t>
  </si>
  <si>
    <t>12755</t>
  </si>
  <si>
    <t>12739</t>
  </si>
  <si>
    <t>12751</t>
  </si>
  <si>
    <t>⚡ TOTAL — updates automatically</t>
  </si>
  <si>
    <t>⚠</t>
  </si>
  <si>
    <t>🔮</t>
  </si>
  <si>
    <t>Request a quote</t>
  </si>
  <si>
    <t>220 VA V V-RING SEAL, VA DESIGN-SKF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</si>
</sst>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m/d/yyyy\ h:mm"/>
    <numFmt numFmtId="165" formatCode="m/d/yyyy"/>
    <numFmt numFmtId="166" formatCode="#,##0.0000"/>
    <numFmt numFmtId="167" formatCode="d\-mmm"/>
    <numFmt numFmtId="168" formatCode="0.0%"/>
  </numFmts>
  <fonts count="94" x14ac:knownFonts="1">
    <font>
      <sz val="11"/>
      <color theme="1"/>
      <name val="Calibri"/>
      <family val="2"/>
      <charset val="1"/>
    </font>
    <font>
      <b/>
      <sz val="26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9"/>
      <color rgb="FFFFFFFF"/>
      <name val="Arial"/>
      <charset val="1"/>
    </font>
    <font>
      <sz val="9"/>
      <color rgb="FF000080"/>
      <name val="Arial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sz val="9"/>
      <color rgb="FF000080"/>
      <name val="Arial"/>
      <family val="2"/>
      <charset val="1"/>
    </font>
    <font>
      <sz val="9"/>
      <color rgb="FF1B5E20"/>
      <name val="Arial"/>
      <charset val="1"/>
    </font>
    <font>
      <b/>
      <sz val="9"/>
      <color rgb="FF2E7D32"/>
      <name val="Arial"/>
      <charset val="1"/>
    </font>
    <font>
      <sz val="9"/>
      <color rgb="FF4A148C"/>
      <name val="Arial"/>
      <charset val="1"/>
    </font>
    <font>
      <sz val="9"/>
      <color rgb="FFC00000"/>
      <name val="Arial"/>
      <family val="2"/>
      <charset val="1"/>
    </font>
    <font>
      <b/>
      <sz val="9"/>
      <color rgb="FFF57F17"/>
      <name val="Arial"/>
      <charset val="1"/>
    </font>
    <font>
      <sz val="9"/>
      <color rgb="FF555555"/>
      <name val="Arial"/>
      <family val="2"/>
      <charset val="1"/>
    </font>
    <font>
      <sz val="9"/>
      <color rgb="FF555555"/>
      <name val="Arial"/>
      <charset val="1"/>
    </font>
    <font>
      <sz val="9"/>
      <color rgb="FF4A148C"/>
      <name val="Arial"/>
      <family val="2"/>
      <charset val="1"/>
    </font>
    <font>
      <b/>
      <sz val="9"/>
      <color rgb="FF00695C"/>
      <name val="Arial"/>
      <charset val="1"/>
    </font>
    <font>
      <b/>
      <sz val="9"/>
      <color rgb="FF1565C0"/>
      <name val="Arial"/>
      <charset val="1"/>
    </font>
    <font>
      <sz val="9"/>
      <color rgb="FFFF0000"/>
      <name val="Arial"/>
      <family val="2"/>
      <charset val="1"/>
    </font>
    <font>
      <b/>
      <sz val="9"/>
      <color rgb="FF6A1B9A"/>
      <name val="Arial"/>
      <charset val="1"/>
    </font>
    <font>
      <b/>
      <sz val="9"/>
      <color rgb="FFBF360C"/>
      <name val="Arial"/>
      <charset val="1"/>
    </font>
    <font>
      <b/>
      <sz val="9"/>
      <color rgb="FFAD1457"/>
      <name val="Arial"/>
      <charset val="1"/>
    </font>
    <font>
      <b/>
      <sz val="9"/>
      <color rgb="FF00838F"/>
      <name val="Arial"/>
      <charset val="1"/>
    </font>
    <font>
      <b/>
      <sz val="15"/>
      <color rgb="FFFFFFFF"/>
      <name val="Arial"/>
      <charset val="1"/>
    </font>
    <font>
      <b/>
      <sz val="8"/>
      <color rgb="FF888888"/>
      <name val="Arial"/>
      <charset val="1"/>
    </font>
    <font>
      <b/>
      <sz val="10"/>
      <color rgb="FF4A148C"/>
      <name val="Arial"/>
      <charset val="1"/>
    </font>
    <font>
      <b/>
      <sz val="14"/>
      <color rgb="FF1A237E"/>
      <name val="Arial"/>
      <family val="2"/>
      <charset val="1"/>
    </font>
    <font>
      <sz val="1"/>
      <color rgb="FFFFFFFF"/>
      <name val="Cambria"/>
      <charset val="1"/>
    </font>
    <font>
      <b/>
      <sz val="10"/>
      <color rgb="FFFFFFFF"/>
      <name val="Arial"/>
      <charset val="1"/>
    </font>
    <font>
      <b/>
      <sz val="8"/>
      <color rgb="FF555577"/>
      <name val="Arial"/>
      <charset val="1"/>
    </font>
    <font>
      <sz val="10"/>
      <color rgb="FF333333"/>
      <name val="Arial"/>
      <charset val="1"/>
    </font>
    <font>
      <b/>
      <sz val="11"/>
      <color rgb="FF1F3864"/>
      <name val="Arial"/>
      <charset val="1"/>
    </font>
    <font>
      <sz val="10"/>
      <color rgb="FF4A148C"/>
      <name val="Arial"/>
      <charset val="1"/>
    </font>
    <font>
      <sz val="10"/>
      <color rgb="FF1A237E"/>
      <name val="Arial"/>
      <charset val="1"/>
    </font>
    <font>
      <b/>
      <sz val="10"/>
      <color rgb="FF00695C"/>
      <name val="Arial"/>
      <charset val="1"/>
    </font>
    <font>
      <b/>
      <sz val="11"/>
      <color rgb="FF333333"/>
      <name val="Arial"/>
      <charset val="1"/>
    </font>
    <font>
      <sz val="10"/>
      <color rgb="FF555555"/>
      <name val="Arial"/>
      <charset val="1"/>
    </font>
    <font>
      <b/>
      <sz val="12"/>
      <color rgb="FF1B5E20"/>
      <name val="Arial"/>
      <charset val="1"/>
    </font>
    <font>
      <b/>
      <sz val="12"/>
      <color rgb="FF1565C0"/>
      <name val="Arial"/>
      <charset val="1"/>
    </font>
    <font>
      <b/>
      <sz val="12"/>
      <color rgb="FFB71C1C"/>
      <name val="Arial"/>
      <charset val="1"/>
    </font>
    <font>
      <b/>
      <sz val="10"/>
      <color rgb="FF1B5E20"/>
      <name val="Courier New"/>
      <charset val="1"/>
    </font>
    <font>
      <b/>
      <sz val="22"/>
      <color rgb="FFFFFFFF"/>
      <name val="Arial"/>
      <charset val="1"/>
    </font>
    <font>
      <b/>
      <sz val="20"/>
      <color rgb="FFFFFFFF"/>
      <name val="Arial"/>
      <charset val="1"/>
    </font>
    <font>
      <b/>
      <sz val="11"/>
      <color rgb="FF4A148C"/>
      <name val="Arial"/>
      <charset val="1"/>
    </font>
    <font>
      <sz val="9"/>
      <color rgb="FF333333"/>
      <name val="Arial"/>
      <charset val="1"/>
    </font>
    <font>
      <sz val="9"/>
      <color rgb="FF1F3864"/>
      <name val="Arial"/>
      <charset val="1"/>
    </font>
    <font>
      <sz val="9"/>
      <color rgb="FF1A237E"/>
      <name val="Arial"/>
      <charset val="1"/>
    </font>
    <font>
      <sz val="9"/>
      <color rgb="FF00695C"/>
      <name val="Arial"/>
      <charset val="1"/>
    </font>
    <font>
      <sz val="9"/>
      <color rgb="FF1565C0"/>
      <name val="Arial"/>
      <charset val="1"/>
    </font>
    <font>
      <i/>
      <sz val="8"/>
      <color rgb="FF888888"/>
      <name val="Arial"/>
      <charset val="1"/>
    </font>
    <font>
      <b/>
      <sz val="16"/>
      <color rgb="FFFFFFFF"/>
      <name val="Arial"/>
      <charset val="1"/>
    </font>
    <font>
      <b/>
      <sz val="15"/>
      <color rgb="FF1F3864"/>
      <name val="Arial"/>
      <charset val="1"/>
    </font>
    <font>
      <b/>
      <sz val="15"/>
      <color rgb="FF0D47A1"/>
      <name val="Arial"/>
      <charset val="1"/>
    </font>
    <font>
      <b/>
      <sz val="15"/>
      <color rgb="FF1B5E20"/>
      <name val="Arial"/>
      <charset val="1"/>
    </font>
    <font>
      <b/>
      <sz val="15"/>
      <color rgb="FFB71C1C"/>
      <name val="Arial"/>
      <charset val="1"/>
    </font>
    <font>
      <b/>
      <sz val="15"/>
      <color rgb="FF00695C"/>
      <name val="Arial"/>
      <charset val="1"/>
    </font>
    <font>
      <b/>
      <sz val="15"/>
      <color rgb="FF4A148C"/>
      <name val="Arial"/>
      <charset val="1"/>
    </font>
    <font>
      <b/>
      <sz val="11"/>
      <color rgb="FFFFFFFF"/>
      <name val="Arial"/>
      <charset val="1"/>
    </font>
    <font>
      <b/>
      <sz val="13"/>
      <color rgb="FFC62828"/>
      <name val="Arial"/>
      <charset val="1"/>
    </font>
    <font>
      <b/>
      <sz val="13"/>
      <color rgb="FFB71C1C"/>
      <name val="Arial"/>
      <charset val="1"/>
    </font>
    <font>
      <b/>
      <sz val="13"/>
      <color rgb="FF1B5E20"/>
      <name val="Arial"/>
      <charset val="1"/>
    </font>
    <font>
      <sz val="9"/>
      <color rgb="FF444444"/>
      <name val="Arial"/>
      <charset val="1"/>
    </font>
    <font>
      <sz val="9"/>
      <color rgb="FF444444"/>
      <name val="Arial"/>
      <family val="2"/>
      <charset val="1"/>
    </font>
    <font>
      <b/>
      <sz val="9"/>
      <color rgb="FF333333"/>
      <name val="Arial"/>
      <family val="2"/>
      <charset val="1"/>
    </font>
    <font>
      <b/>
      <sz val="9"/>
      <color rgb="FF1B5E20"/>
      <name val="Arial"/>
      <charset val="1"/>
    </font>
    <font>
      <b/>
      <sz val="9"/>
      <color rgb="FFE65100"/>
      <name val="Arial"/>
      <charset val="1"/>
    </font>
    <font>
      <b/>
      <sz val="9"/>
      <color rgb="FF4A148C"/>
      <name val="Arial"/>
      <charset val="1"/>
    </font>
    <font>
      <b/>
      <sz val="9"/>
      <color rgb="FF1B5E20"/>
      <name val="Arial"/>
      <family val="2"/>
      <charset val="1"/>
    </font>
    <font>
      <b/>
      <sz val="9"/>
      <color rgb="FFC62828"/>
      <name val="Arial"/>
      <charset val="1"/>
    </font>
    <font>
      <b/>
      <sz val="9"/>
      <color rgb="FFC62828"/>
      <name val="Arial"/>
      <family val="2"/>
      <charset val="1"/>
    </font>
    <font>
      <sz val="9"/>
      <color rgb="FF2E7D32"/>
      <name val="Arial"/>
      <charset val="1"/>
    </font>
    <font>
      <sz val="9"/>
      <color rgb="FFC62828"/>
      <name val="Arial"/>
      <charset val="1"/>
    </font>
    <font>
      <b/>
      <sz val="9"/>
      <color rgb="FF757575"/>
      <name val="Arial"/>
      <charset val="1"/>
    </font>
    <font>
      <b/>
      <sz val="9"/>
      <color rgb="FF006064"/>
      <name val="Arial"/>
      <charset val="1"/>
    </font>
    <font>
      <sz val="9"/>
      <color rgb="FF006064"/>
      <name val="Arial"/>
      <charset val="1"/>
    </font>
    <font>
      <i/>
      <sz val="9"/>
      <color rgb="FF5599BB"/>
      <name val="Arial"/>
      <charset val="1"/>
    </font>
    <font>
      <b/>
      <sz val="8"/>
      <color rgb="FF7799AA"/>
      <name val="Arial"/>
      <charset val="1"/>
    </font>
    <font>
      <b/>
      <sz val="16"/>
      <color rgb="FF4FC3F7"/>
      <name val="Arial"/>
      <charset val="1"/>
    </font>
    <font>
      <b/>
      <sz val="16"/>
      <color rgb="FFA5D6A7"/>
      <name val="Arial"/>
      <charset val="1"/>
    </font>
    <font>
      <b/>
      <sz val="16"/>
      <color rgb="FF80CBC4"/>
      <name val="Arial"/>
      <charset val="1"/>
    </font>
    <font>
      <b/>
      <sz val="16"/>
      <color rgb="FFEF9A9A"/>
      <name val="Arial"/>
      <charset val="1"/>
    </font>
    <font>
      <b/>
      <sz val="16"/>
      <color rgb="FFFFF176"/>
      <name val="Arial"/>
      <charset val="1"/>
    </font>
    <font>
      <b/>
      <sz val="16"/>
      <color rgb="FFCE93D8"/>
      <name val="Arial"/>
      <charset val="1"/>
    </font>
    <font>
      <b/>
      <sz val="10"/>
      <color rgb="FF1F3864"/>
      <name val="Arial"/>
      <charset val="1"/>
    </font>
    <font>
      <i/>
      <sz val="9"/>
      <color rgb="FF6B7280"/>
      <name val="Arial"/>
      <charset val="1"/>
    </font>
    <font>
      <b/>
      <sz val="10"/>
      <color rgb="FF2563EB"/>
      <name val="Arial"/>
      <charset val="1"/>
    </font>
    <font>
      <sz val="10"/>
      <color rgb="FF111827"/>
      <name val="Arial"/>
      <charset val="1"/>
    </font>
    <font>
      <b/>
      <sz val="9"/>
      <color rgb="FFFF0000"/>
      <name val="Arial"/>
      <family val="2"/>
    </font>
    <font>
      <b/>
      <sz val="9"/>
      <color rgb="FFFFC000"/>
      <name val="Arial"/>
      <family val="2"/>
    </font>
    <font>
      <b/>
      <sz val="9"/>
      <color theme="9" tint="-0.249977111117893"/>
      <name val="Arial"/>
      <family val="2"/>
    </font>
    <font>
      <b/>
      <sz val="9"/>
      <color theme="7" tint="-0.249977111117893"/>
      <name val="Arial"/>
      <family val="2"/>
    </font>
    <font>
      <sz val="9"/>
      <color rgb="FF444444"/>
      <name val="Arial"/>
      <family val="2"/>
    </font>
    <font>
      <sz val="9"/>
      <color rgb="FF000080"/>
      <name val="Arial"/>
      <family val="2"/>
    </font>
  </fonts>
  <fills count="44">
    <fill>
      <patternFill patternType="none"/>
    </fill>
    <fill>
      <patternFill patternType="gray125"/>
    </fill>
    <fill>
      <patternFill patternType="solid">
        <fgColor theme="0"/>
        <bgColor rgb="FFFAFFFE"/>
      </patternFill>
    </fill>
    <fill>
      <patternFill patternType="solid">
        <fgColor rgb="FF1E3862"/>
        <bgColor rgb="FF1E3864"/>
      </patternFill>
    </fill>
    <fill>
      <patternFill patternType="solid">
        <fgColor rgb="FF0D47A1"/>
        <bgColor rgb="FF2E4A7A"/>
      </patternFill>
    </fill>
    <fill>
      <patternFill patternType="solid">
        <fgColor rgb="FFF5F5F5"/>
        <bgColor rgb="FFF8F9FA"/>
      </patternFill>
    </fill>
    <fill>
      <patternFill patternType="solid">
        <fgColor rgb="FF2E4A7A"/>
        <bgColor rgb="FF1E3A5F"/>
      </patternFill>
    </fill>
    <fill>
      <patternFill patternType="solid">
        <fgColor rgb="FF1B5E20"/>
        <bgColor rgb="FF00695C"/>
      </patternFill>
    </fill>
    <fill>
      <patternFill patternType="solid">
        <fgColor rgb="FF4A148C"/>
        <bgColor rgb="FF6A1B9A"/>
      </patternFill>
    </fill>
    <fill>
      <patternFill patternType="solid">
        <fgColor rgb="FFEFF3FB"/>
        <bgColor rgb="FFF0F4FF"/>
      </patternFill>
    </fill>
    <fill>
      <patternFill patternType="solid">
        <fgColor rgb="FFF3E5F5"/>
        <bgColor rgb="FFEDE7F6"/>
      </patternFill>
    </fill>
    <fill>
      <patternFill patternType="solid">
        <fgColor rgb="FFF0FFF0"/>
        <bgColor rgb="FFF8F9FA"/>
      </patternFill>
    </fill>
    <fill>
      <patternFill patternType="solid">
        <fgColor rgb="FFEDE7F6"/>
        <bgColor rgb="FFE8EAF6"/>
      </patternFill>
    </fill>
    <fill>
      <patternFill patternType="solid">
        <fgColor rgb="FFFFFBE5"/>
        <bgColor rgb="FFFFFEF5"/>
      </patternFill>
    </fill>
    <fill>
      <patternFill patternType="solid">
        <fgColor rgb="FFF0F4FF"/>
        <bgColor rgb="FFEFF3FB"/>
      </patternFill>
    </fill>
    <fill>
      <patternFill patternType="solid">
        <fgColor rgb="FFFAFFFE"/>
        <bgColor rgb="FFFFFFFF"/>
      </patternFill>
    </fill>
    <fill>
      <patternFill patternType="solid">
        <fgColor rgb="FFFFFEF5"/>
        <bgColor rgb="FFFFFFFF"/>
      </patternFill>
    </fill>
    <fill>
      <patternFill patternType="solid">
        <fgColor rgb="FFE4F3F2"/>
        <bgColor rgb="FFE3F2FD"/>
      </patternFill>
    </fill>
    <fill>
      <patternFill patternType="darkGray">
        <fgColor theme="7" tint="0.79979857783745845"/>
        <bgColor rgb="FFE8EAF6"/>
      </patternFill>
    </fill>
    <fill>
      <patternFill patternType="darkGray">
        <fgColor rgb="FF6D95AA"/>
        <bgColor rgb="FF7C7D7F"/>
      </patternFill>
    </fill>
    <fill>
      <patternFill patternType="solid">
        <fgColor rgb="FFE8EAF6"/>
        <bgColor rgb="FFEDE7F6"/>
      </patternFill>
    </fill>
    <fill>
      <patternFill patternType="solid">
        <fgColor rgb="FFFAFAFA"/>
        <bgColor rgb="FFF8F9FA"/>
      </patternFill>
    </fill>
    <fill>
      <patternFill patternType="solid">
        <fgColor rgb="FFB71C1C"/>
        <bgColor rgb="FFC62828"/>
      </patternFill>
    </fill>
    <fill>
      <patternFill patternType="solid">
        <fgColor rgb="FF00695C"/>
        <bgColor rgb="FF006064"/>
      </patternFill>
    </fill>
    <fill>
      <patternFill patternType="solid">
        <fgColor rgb="FFC62828"/>
        <bgColor rgb="FFB71C1C"/>
      </patternFill>
    </fill>
    <fill>
      <patternFill patternType="solid">
        <fgColor rgb="FFFFF5F5"/>
        <bgColor rgb="FFFAFAFA"/>
      </patternFill>
    </fill>
    <fill>
      <patternFill patternType="solid">
        <fgColor rgb="FFF8F9FA"/>
        <bgColor rgb="FFFAFAFA"/>
      </patternFill>
    </fill>
    <fill>
      <patternFill patternType="solid">
        <fgColor rgb="FF444545"/>
        <bgColor rgb="FF55555E"/>
      </patternFill>
    </fill>
    <fill>
      <patternFill patternType="solid">
        <fgColor rgb="FFE3F2FD"/>
        <bgColor rgb="FFE4F3F2"/>
      </patternFill>
    </fill>
    <fill>
      <patternFill patternType="solid">
        <fgColor rgb="FF1E3864"/>
        <bgColor rgb="FF1E3862"/>
      </patternFill>
    </fill>
    <fill>
      <patternFill patternType="darkGray">
        <fgColor rgb="FF76028B"/>
        <bgColor rgb="FF6A1B9A"/>
      </patternFill>
    </fill>
    <fill>
      <patternFill patternType="solid">
        <fgColor rgb="FF006064"/>
        <bgColor rgb="FF00695C"/>
      </patternFill>
    </fill>
    <fill>
      <patternFill patternType="solid">
        <fgColor rgb="FF008888"/>
        <bgColor rgb="FF00838F"/>
      </patternFill>
    </fill>
    <fill>
      <patternFill patternType="solid">
        <fgColor rgb="FFE0F7FA"/>
        <bgColor rgb="FFE3F2FD"/>
      </patternFill>
    </fill>
    <fill>
      <patternFill patternType="darkGray">
        <fgColor rgb="FF0A1120"/>
        <bgColor rgb="FF000000"/>
      </patternFill>
    </fill>
    <fill>
      <patternFill patternType="solid">
        <fgColor rgb="FF0A1120"/>
        <bgColor rgb="FF000000"/>
      </patternFill>
    </fill>
    <fill>
      <patternFill patternType="solid">
        <fgColor rgb="FF7ACFEA"/>
        <bgColor rgb="FFA5D6A7"/>
      </patternFill>
    </fill>
    <fill>
      <patternFill patternType="solid">
        <fgColor rgb="FFA5D6A7"/>
        <bgColor rgb="FFCCCCCC"/>
      </patternFill>
    </fill>
    <fill>
      <patternFill patternType="mediumGray">
        <fgColor rgb="FF7ACFEA"/>
        <bgColor rgb="FFA5D6A7"/>
      </patternFill>
    </fill>
    <fill>
      <patternFill patternType="solid">
        <fgColor rgb="FFEF9A9A"/>
        <bgColor rgb="FFCE93D8"/>
      </patternFill>
    </fill>
    <fill>
      <patternFill patternType="solid">
        <fgColor rgb="FFFFF277"/>
        <bgColor rgb="FFFFFBE5"/>
      </patternFill>
    </fill>
    <fill>
      <patternFill patternType="solid">
        <fgColor rgb="FFCE93D8"/>
        <bgColor rgb="FFEF9A9A"/>
      </patternFill>
    </fill>
    <fill>
      <patternFill patternType="darkGray">
        <fgColor rgb="FF282D30"/>
        <bgColor rgb="FF0A1120"/>
      </patternFill>
    </fill>
    <fill>
      <patternFill patternType="solid">
        <fgColor rgb="FF1E3A5F"/>
        <bgColor rgb="FF1E3862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76028B"/>
      </left>
      <right style="medium">
        <color rgb="FF76028B"/>
      </right>
      <top style="medium">
        <color rgb="FF76028B"/>
      </top>
      <bottom style="medium">
        <color rgb="FF76028B"/>
      </bottom>
      <diagonal/>
    </border>
    <border>
      <left style="medium">
        <color rgb="FFFFF277"/>
      </left>
      <right/>
      <top style="medium">
        <color rgb="FFFFF277"/>
      </top>
      <bottom style="medium">
        <color rgb="FFFFF277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78">
    <xf numFmtId="0" fontId="0" fillId="0" borderId="0" xfId="0"/>
    <xf numFmtId="0" fontId="30" fillId="13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left" vertical="center"/>
    </xf>
    <xf numFmtId="165" fontId="5" fillId="5" borderId="4" xfId="0" applyNumberFormat="1" applyFont="1" applyFill="1" applyBorder="1" applyAlignment="1">
      <alignment horizontal="center" vertical="center"/>
    </xf>
    <xf numFmtId="3" fontId="5" fillId="5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165" fontId="5" fillId="0" borderId="4" xfId="0" applyNumberFormat="1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left" vertical="center"/>
    </xf>
    <xf numFmtId="9" fontId="9" fillId="9" borderId="4" xfId="0" applyNumberFormat="1" applyFont="1" applyFill="1" applyBorder="1" applyAlignment="1">
      <alignment horizontal="center" vertical="center"/>
    </xf>
    <xf numFmtId="166" fontId="5" fillId="5" borderId="4" xfId="0" applyNumberFormat="1" applyFont="1" applyFill="1" applyBorder="1" applyAlignment="1">
      <alignment horizontal="right" vertical="center"/>
    </xf>
    <xf numFmtId="4" fontId="9" fillId="9" borderId="4" xfId="0" applyNumberFormat="1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3" fontId="9" fillId="9" borderId="4" xfId="0" applyNumberFormat="1" applyFont="1" applyFill="1" applyBorder="1" applyAlignment="1">
      <alignment horizontal="center" vertical="center"/>
    </xf>
    <xf numFmtId="165" fontId="11" fillId="10" borderId="4" xfId="0" applyNumberFormat="1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165" fontId="5" fillId="2" borderId="4" xfId="0" applyNumberFormat="1" applyFont="1" applyFill="1" applyBorder="1" applyAlignment="1">
      <alignment horizontal="center" vertical="center"/>
    </xf>
    <xf numFmtId="3" fontId="5" fillId="2" borderId="4" xfId="0" applyNumberFormat="1" applyFont="1" applyFill="1" applyBorder="1" applyAlignment="1">
      <alignment horizontal="center" vertical="center"/>
    </xf>
    <xf numFmtId="9" fontId="9" fillId="11" borderId="4" xfId="0" applyNumberFormat="1" applyFont="1" applyFill="1" applyBorder="1" applyAlignment="1">
      <alignment horizontal="center" vertical="center"/>
    </xf>
    <xf numFmtId="166" fontId="5" fillId="2" borderId="4" xfId="0" applyNumberFormat="1" applyFont="1" applyFill="1" applyBorder="1" applyAlignment="1">
      <alignment horizontal="right" vertical="center"/>
    </xf>
    <xf numFmtId="4" fontId="9" fillId="11" borderId="4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/>
    </xf>
    <xf numFmtId="3" fontId="9" fillId="11" borderId="4" xfId="0" applyNumberFormat="1" applyFont="1" applyFill="1" applyBorder="1" applyAlignment="1">
      <alignment horizontal="center" vertical="center"/>
    </xf>
    <xf numFmtId="165" fontId="11" fillId="12" borderId="4" xfId="0" applyNumberFormat="1" applyFont="1" applyFill="1" applyBorder="1" applyAlignment="1">
      <alignment horizontal="center" vertical="center"/>
    </xf>
    <xf numFmtId="0" fontId="11" fillId="12" borderId="4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14" fillId="12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left" vertical="center"/>
    </xf>
    <xf numFmtId="0" fontId="15" fillId="12" borderId="4" xfId="0" applyFont="1" applyFill="1" applyBorder="1" applyAlignment="1">
      <alignment horizontal="left" vertical="center"/>
    </xf>
    <xf numFmtId="165" fontId="16" fillId="10" borderId="4" xfId="0" applyNumberFormat="1" applyFont="1" applyFill="1" applyBorder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9" fillId="10" borderId="4" xfId="0" applyFont="1" applyFill="1" applyBorder="1" applyAlignment="1">
      <alignment horizontal="left" vertical="center"/>
    </xf>
    <xf numFmtId="0" fontId="20" fillId="2" borderId="4" xfId="0" applyFont="1" applyFill="1" applyBorder="1" applyAlignment="1">
      <alignment horizontal="center" vertical="center"/>
    </xf>
    <xf numFmtId="0" fontId="20" fillId="5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/>
    </xf>
    <xf numFmtId="0" fontId="22" fillId="5" borderId="4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167" fontId="11" fillId="12" borderId="4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19" fillId="12" borderId="4" xfId="0" applyFont="1" applyFill="1" applyBorder="1" applyAlignment="1">
      <alignment horizontal="left" vertical="center"/>
    </xf>
    <xf numFmtId="0" fontId="5" fillId="5" borderId="4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8" fillId="0" borderId="0" xfId="0" applyFont="1"/>
    <xf numFmtId="0" fontId="30" fillId="14" borderId="4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2" fillId="15" borderId="4" xfId="0" applyFont="1" applyFill="1" applyBorder="1" applyAlignment="1">
      <alignment horizontal="center" vertical="center"/>
    </xf>
    <xf numFmtId="0" fontId="33" fillId="15" borderId="4" xfId="0" applyFont="1" applyFill="1" applyBorder="1" applyAlignment="1">
      <alignment horizontal="center" vertical="center"/>
    </xf>
    <xf numFmtId="0" fontId="34" fillId="15" borderId="4" xfId="0" applyFont="1" applyFill="1" applyBorder="1" applyAlignment="1">
      <alignment horizontal="center" vertical="center"/>
    </xf>
    <xf numFmtId="0" fontId="35" fillId="15" borderId="4" xfId="0" applyFont="1" applyFill="1" applyBorder="1" applyAlignment="1">
      <alignment horizontal="center" vertical="center"/>
    </xf>
    <xf numFmtId="165" fontId="31" fillId="15" borderId="4" xfId="0" applyNumberFormat="1" applyFont="1" applyFill="1" applyBorder="1" applyAlignment="1">
      <alignment horizontal="center" vertical="center"/>
    </xf>
    <xf numFmtId="0" fontId="31" fillId="16" borderId="4" xfId="0" applyFont="1" applyFill="1" applyBorder="1" applyAlignment="1">
      <alignment horizontal="center" vertical="center"/>
    </xf>
    <xf numFmtId="0" fontId="36" fillId="16" borderId="4" xfId="0" applyFont="1" applyFill="1" applyBorder="1" applyAlignment="1">
      <alignment horizontal="center" vertical="center"/>
    </xf>
    <xf numFmtId="0" fontId="37" fillId="16" borderId="4" xfId="0" applyFont="1" applyFill="1" applyBorder="1" applyAlignment="1">
      <alignment horizontal="center" vertical="center"/>
    </xf>
    <xf numFmtId="166" fontId="31" fillId="16" borderId="4" xfId="0" applyNumberFormat="1" applyFont="1" applyFill="1" applyBorder="1" applyAlignment="1">
      <alignment horizontal="center" vertical="center"/>
    </xf>
    <xf numFmtId="3" fontId="38" fillId="16" borderId="4" xfId="0" applyNumberFormat="1" applyFont="1" applyFill="1" applyBorder="1" applyAlignment="1">
      <alignment horizontal="center" vertical="center"/>
    </xf>
    <xf numFmtId="3" fontId="39" fillId="16" borderId="4" xfId="0" applyNumberFormat="1" applyFont="1" applyFill="1" applyBorder="1" applyAlignment="1">
      <alignment horizontal="center" vertical="center"/>
    </xf>
    <xf numFmtId="3" fontId="40" fillId="16" borderId="4" xfId="0" applyNumberFormat="1" applyFont="1" applyFill="1" applyBorder="1" applyAlignment="1">
      <alignment horizontal="center" vertical="center"/>
    </xf>
    <xf numFmtId="0" fontId="30" fillId="10" borderId="4" xfId="0" applyFont="1" applyFill="1" applyBorder="1" applyAlignment="1">
      <alignment horizontal="center" vertical="center"/>
    </xf>
    <xf numFmtId="165" fontId="43" fillId="19" borderId="4" xfId="0" applyNumberFormat="1" applyFont="1" applyFill="1" applyBorder="1" applyAlignment="1">
      <alignment horizontal="center" vertical="center"/>
    </xf>
    <xf numFmtId="0" fontId="30" fillId="20" borderId="4" xfId="0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center" vertical="center"/>
    </xf>
    <xf numFmtId="0" fontId="46" fillId="2" borderId="4" xfId="0" applyFont="1" applyFill="1" applyBorder="1" applyAlignment="1">
      <alignment horizontal="center" vertical="center"/>
    </xf>
    <xf numFmtId="0" fontId="48" fillId="2" borderId="4" xfId="0" applyFont="1" applyFill="1" applyBorder="1" applyAlignment="1">
      <alignment horizontal="center" vertical="center"/>
    </xf>
    <xf numFmtId="3" fontId="9" fillId="2" borderId="4" xfId="0" applyNumberFormat="1" applyFont="1" applyFill="1" applyBorder="1" applyAlignment="1">
      <alignment horizontal="center" vertical="center"/>
    </xf>
    <xf numFmtId="3" fontId="49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45" fillId="5" borderId="4" xfId="0" applyFont="1" applyFill="1" applyBorder="1" applyAlignment="1">
      <alignment horizontal="center" vertical="center"/>
    </xf>
    <xf numFmtId="0" fontId="46" fillId="5" borderId="4" xfId="0" applyFont="1" applyFill="1" applyBorder="1" applyAlignment="1">
      <alignment horizontal="center" vertical="center"/>
    </xf>
    <xf numFmtId="0" fontId="48" fillId="5" borderId="4" xfId="0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3" fontId="49" fillId="5" borderId="4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4" fillId="3" borderId="4" xfId="0" applyFont="1" applyFill="1" applyBorder="1" applyAlignment="1">
      <alignment horizontal="center" vertical="center" wrapText="1"/>
    </xf>
    <xf numFmtId="0" fontId="10" fillId="26" borderId="4" xfId="0" applyFont="1" applyFill="1" applyBorder="1" applyAlignment="1">
      <alignment horizontal="left" vertical="center"/>
    </xf>
    <xf numFmtId="0" fontId="62" fillId="26" borderId="4" xfId="0" applyFont="1" applyFill="1" applyBorder="1" applyAlignment="1">
      <alignment horizontal="left" vertical="center"/>
    </xf>
    <xf numFmtId="3" fontId="45" fillId="26" borderId="4" xfId="0" applyNumberFormat="1" applyFont="1" applyFill="1" applyBorder="1" applyAlignment="1">
      <alignment horizontal="center" vertical="center"/>
    </xf>
    <xf numFmtId="4" fontId="45" fillId="26" borderId="4" xfId="0" applyNumberFormat="1" applyFont="1" applyFill="1" applyBorder="1" applyAlignment="1">
      <alignment horizontal="right" vertical="center"/>
    </xf>
    <xf numFmtId="3" fontId="11" fillId="26" borderId="4" xfId="0" applyNumberFormat="1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left" vertical="center"/>
    </xf>
    <xf numFmtId="0" fontId="62" fillId="2" borderId="4" xfId="0" applyFont="1" applyFill="1" applyBorder="1" applyAlignment="1">
      <alignment horizontal="left" vertical="center"/>
    </xf>
    <xf numFmtId="3" fontId="45" fillId="2" borderId="4" xfId="0" applyNumberFormat="1" applyFont="1" applyFill="1" applyBorder="1" applyAlignment="1">
      <alignment horizontal="center" vertical="center"/>
    </xf>
    <xf numFmtId="4" fontId="45" fillId="2" borderId="4" xfId="0" applyNumberFormat="1" applyFont="1" applyFill="1" applyBorder="1" applyAlignment="1">
      <alignment horizontal="right" vertical="center"/>
    </xf>
    <xf numFmtId="3" fontId="11" fillId="2" borderId="4" xfId="0" applyNumberFormat="1" applyFont="1" applyFill="1" applyBorder="1" applyAlignment="1">
      <alignment horizontal="center" vertical="center"/>
    </xf>
    <xf numFmtId="0" fontId="20" fillId="26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1" fillId="26" borderId="4" xfId="0" applyFont="1" applyFill="1" applyBorder="1" applyAlignment="1">
      <alignment horizontal="left" vertical="center"/>
    </xf>
    <xf numFmtId="0" fontId="23" fillId="2" borderId="4" xfId="0" applyFont="1" applyFill="1" applyBorder="1" applyAlignment="1">
      <alignment horizontal="left" vertical="center"/>
    </xf>
    <xf numFmtId="0" fontId="63" fillId="2" borderId="4" xfId="0" applyFont="1" applyFill="1" applyBorder="1" applyAlignment="1">
      <alignment horizontal="left" vertical="center"/>
    </xf>
    <xf numFmtId="0" fontId="22" fillId="26" borderId="4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horizontal="left" vertical="center"/>
    </xf>
    <xf numFmtId="0" fontId="45" fillId="2" borderId="4" xfId="0" applyFont="1" applyFill="1" applyBorder="1" applyAlignment="1">
      <alignment horizontal="right" vertical="center"/>
    </xf>
    <xf numFmtId="0" fontId="11" fillId="2" borderId="4" xfId="0" applyFont="1" applyFill="1" applyBorder="1" applyAlignment="1">
      <alignment horizontal="center" vertical="center"/>
    </xf>
    <xf numFmtId="3" fontId="4" fillId="3" borderId="4" xfId="0" applyNumberFormat="1" applyFont="1" applyFill="1" applyBorder="1" applyAlignment="1">
      <alignment horizontal="center" vertical="center"/>
    </xf>
    <xf numFmtId="4" fontId="4" fillId="3" borderId="4" xfId="0" applyNumberFormat="1" applyFont="1" applyFill="1" applyBorder="1" applyAlignment="1">
      <alignment horizontal="right" vertical="center"/>
    </xf>
    <xf numFmtId="0" fontId="4" fillId="27" borderId="4" xfId="0" applyFont="1" applyFill="1" applyBorder="1" applyAlignment="1">
      <alignment horizontal="center" vertical="center" wrapText="1"/>
    </xf>
    <xf numFmtId="0" fontId="18" fillId="28" borderId="4" xfId="0" applyFont="1" applyFill="1" applyBorder="1" applyAlignment="1">
      <alignment horizontal="center" vertical="center"/>
    </xf>
    <xf numFmtId="0" fontId="62" fillId="28" borderId="4" xfId="0" applyFont="1" applyFill="1" applyBorder="1" applyAlignment="1">
      <alignment horizontal="left" vertical="center"/>
    </xf>
    <xf numFmtId="3" fontId="45" fillId="28" borderId="4" xfId="0" applyNumberFormat="1" applyFont="1" applyFill="1" applyBorder="1" applyAlignment="1">
      <alignment horizontal="center" vertical="center"/>
    </xf>
    <xf numFmtId="9" fontId="45" fillId="28" borderId="4" xfId="0" applyNumberFormat="1" applyFont="1" applyFill="1" applyBorder="1" applyAlignment="1">
      <alignment horizontal="center" vertical="center"/>
    </xf>
    <xf numFmtId="4" fontId="64" fillId="28" borderId="4" xfId="0" applyNumberFormat="1" applyFont="1" applyFill="1" applyBorder="1" applyAlignment="1">
      <alignment horizontal="right" vertical="center"/>
    </xf>
    <xf numFmtId="0" fontId="65" fillId="2" borderId="4" xfId="0" applyFont="1" applyFill="1" applyBorder="1" applyAlignment="1">
      <alignment horizontal="center" vertical="center"/>
    </xf>
    <xf numFmtId="9" fontId="45" fillId="2" borderId="4" xfId="0" applyNumberFormat="1" applyFont="1" applyFill="1" applyBorder="1" applyAlignment="1">
      <alignment horizontal="center" vertical="center"/>
    </xf>
    <xf numFmtId="4" fontId="64" fillId="2" borderId="4" xfId="0" applyNumberFormat="1" applyFont="1" applyFill="1" applyBorder="1" applyAlignment="1">
      <alignment horizontal="right" vertical="center"/>
    </xf>
    <xf numFmtId="0" fontId="66" fillId="28" borderId="4" xfId="0" applyFont="1" applyFill="1" applyBorder="1" applyAlignment="1">
      <alignment horizontal="center" vertical="center"/>
    </xf>
    <xf numFmtId="0" fontId="67" fillId="2" borderId="4" xfId="0" applyFont="1" applyFill="1" applyBorder="1" applyAlignment="1">
      <alignment horizontal="center" vertical="center"/>
    </xf>
    <xf numFmtId="0" fontId="4" fillId="29" borderId="4" xfId="0" applyFont="1" applyFill="1" applyBorder="1" applyAlignment="1">
      <alignment horizontal="center" vertical="center" wrapText="1"/>
    </xf>
    <xf numFmtId="0" fontId="65" fillId="26" borderId="4" xfId="0" applyFont="1" applyFill="1" applyBorder="1" applyAlignment="1">
      <alignment horizontal="left" vertical="center"/>
    </xf>
    <xf numFmtId="168" fontId="68" fillId="26" borderId="4" xfId="0" applyNumberFormat="1" applyFont="1" applyFill="1" applyBorder="1" applyAlignment="1">
      <alignment horizontal="center" vertical="center"/>
    </xf>
    <xf numFmtId="0" fontId="69" fillId="2" borderId="4" xfId="0" applyFont="1" applyFill="1" applyBorder="1" applyAlignment="1">
      <alignment horizontal="left" vertical="center"/>
    </xf>
    <xf numFmtId="168" fontId="70" fillId="2" borderId="4" xfId="0" applyNumberFormat="1" applyFont="1" applyFill="1" applyBorder="1" applyAlignment="1">
      <alignment horizontal="center" vertical="center"/>
    </xf>
    <xf numFmtId="0" fontId="4" fillId="30" borderId="4" xfId="0" applyFont="1" applyFill="1" applyBorder="1" applyAlignment="1">
      <alignment horizontal="center" vertical="center" wrapText="1"/>
    </xf>
    <xf numFmtId="0" fontId="10" fillId="10" borderId="4" xfId="0" applyFont="1" applyFill="1" applyBorder="1" applyAlignment="1">
      <alignment horizontal="left" vertical="center"/>
    </xf>
    <xf numFmtId="3" fontId="45" fillId="10" borderId="4" xfId="0" applyNumberFormat="1" applyFont="1" applyFill="1" applyBorder="1" applyAlignment="1">
      <alignment horizontal="center" vertical="center"/>
    </xf>
    <xf numFmtId="4" fontId="45" fillId="10" borderId="4" xfId="0" applyNumberFormat="1" applyFont="1" applyFill="1" applyBorder="1" applyAlignment="1">
      <alignment horizontal="right" vertical="center"/>
    </xf>
    <xf numFmtId="168" fontId="71" fillId="10" borderId="4" xfId="0" applyNumberFormat="1" applyFont="1" applyFill="1" applyBorder="1" applyAlignment="1">
      <alignment horizontal="center" vertical="center"/>
    </xf>
    <xf numFmtId="0" fontId="69" fillId="12" borderId="4" xfId="0" applyFont="1" applyFill="1" applyBorder="1" applyAlignment="1">
      <alignment horizontal="left" vertical="center"/>
    </xf>
    <xf numFmtId="3" fontId="45" fillId="12" borderId="4" xfId="0" applyNumberFormat="1" applyFont="1" applyFill="1" applyBorder="1" applyAlignment="1">
      <alignment horizontal="center" vertical="center"/>
    </xf>
    <xf numFmtId="4" fontId="45" fillId="12" borderId="4" xfId="0" applyNumberFormat="1" applyFont="1" applyFill="1" applyBorder="1" applyAlignment="1">
      <alignment horizontal="right" vertical="center"/>
    </xf>
    <xf numFmtId="168" fontId="72" fillId="12" borderId="4" xfId="0" applyNumberFormat="1" applyFont="1" applyFill="1" applyBorder="1" applyAlignment="1">
      <alignment horizontal="center" vertical="center"/>
    </xf>
    <xf numFmtId="0" fontId="18" fillId="10" borderId="4" xfId="0" applyFont="1" applyFill="1" applyBorder="1" applyAlignment="1">
      <alignment horizontal="left" vertical="center"/>
    </xf>
    <xf numFmtId="168" fontId="49" fillId="10" borderId="4" xfId="0" applyNumberFormat="1" applyFont="1" applyFill="1" applyBorder="1" applyAlignment="1">
      <alignment horizontal="center" vertical="center"/>
    </xf>
    <xf numFmtId="0" fontId="69" fillId="12" borderId="7" xfId="0" applyFont="1" applyFill="1" applyBorder="1" applyAlignment="1">
      <alignment horizontal="left" vertical="center"/>
    </xf>
    <xf numFmtId="0" fontId="73" fillId="12" borderId="4" xfId="0" applyFont="1" applyFill="1" applyBorder="1" applyAlignment="1">
      <alignment horizontal="left" vertical="center"/>
    </xf>
    <xf numFmtId="0" fontId="4" fillId="32" borderId="4" xfId="0" applyFont="1" applyFill="1" applyBorder="1" applyAlignment="1">
      <alignment horizontal="center" vertical="center" wrapText="1"/>
    </xf>
    <xf numFmtId="0" fontId="74" fillId="33" borderId="4" xfId="0" applyFont="1" applyFill="1" applyBorder="1" applyAlignment="1">
      <alignment horizontal="left" vertical="center"/>
    </xf>
    <xf numFmtId="3" fontId="45" fillId="33" borderId="4" xfId="0" applyNumberFormat="1" applyFont="1" applyFill="1" applyBorder="1" applyAlignment="1">
      <alignment horizontal="center" vertical="center"/>
    </xf>
    <xf numFmtId="168" fontId="75" fillId="33" borderId="4" xfId="0" applyNumberFormat="1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left" vertical="center"/>
    </xf>
    <xf numFmtId="3" fontId="45" fillId="17" borderId="4" xfId="0" applyNumberFormat="1" applyFont="1" applyFill="1" applyBorder="1" applyAlignment="1">
      <alignment horizontal="center" vertical="center"/>
    </xf>
    <xf numFmtId="168" fontId="71" fillId="17" borderId="4" xfId="0" applyNumberFormat="1" applyFont="1" applyFill="1" applyBorder="1" applyAlignment="1">
      <alignment horizontal="center" vertical="center"/>
    </xf>
    <xf numFmtId="0" fontId="45" fillId="26" borderId="4" xfId="0" applyFont="1" applyFill="1" applyBorder="1" applyAlignment="1">
      <alignment horizontal="left" vertical="center"/>
    </xf>
    <xf numFmtId="168" fontId="45" fillId="26" borderId="4" xfId="0" applyNumberFormat="1" applyFont="1" applyFill="1" applyBorder="1" applyAlignment="1">
      <alignment horizontal="center" vertical="center"/>
    </xf>
    <xf numFmtId="3" fontId="75" fillId="26" borderId="4" xfId="0" applyNumberFormat="1" applyFont="1" applyFill="1" applyBorder="1" applyAlignment="1">
      <alignment horizontal="center" vertical="center"/>
    </xf>
    <xf numFmtId="0" fontId="45" fillId="2" borderId="4" xfId="0" applyFont="1" applyFill="1" applyBorder="1" applyAlignment="1">
      <alignment horizontal="left" vertical="center"/>
    </xf>
    <xf numFmtId="168" fontId="45" fillId="2" borderId="4" xfId="0" applyNumberFormat="1" applyFont="1" applyFill="1" applyBorder="1" applyAlignment="1">
      <alignment horizontal="center" vertical="center"/>
    </xf>
    <xf numFmtId="3" fontId="75" fillId="2" borderId="4" xfId="0" applyNumberFormat="1" applyFont="1" applyFill="1" applyBorder="1" applyAlignment="1">
      <alignment horizontal="center" vertical="center"/>
    </xf>
    <xf numFmtId="0" fontId="75" fillId="2" borderId="4" xfId="0" applyFont="1" applyFill="1" applyBorder="1" applyAlignment="1">
      <alignment horizontal="center" vertical="center"/>
    </xf>
    <xf numFmtId="3" fontId="29" fillId="3" borderId="4" xfId="0" applyNumberFormat="1" applyFont="1" applyFill="1" applyBorder="1" applyAlignment="1">
      <alignment horizontal="center" vertical="center"/>
    </xf>
    <xf numFmtId="168" fontId="29" fillId="3" borderId="4" xfId="0" applyNumberFormat="1" applyFont="1" applyFill="1" applyBorder="1" applyAlignment="1">
      <alignment horizontal="center" vertical="center"/>
    </xf>
    <xf numFmtId="4" fontId="29" fillId="3" borderId="4" xfId="0" applyNumberFormat="1" applyFont="1" applyFill="1" applyBorder="1" applyAlignment="1">
      <alignment horizontal="right" vertical="center"/>
    </xf>
    <xf numFmtId="0" fontId="84" fillId="9" borderId="4" xfId="0" applyFont="1" applyFill="1" applyBorder="1" applyAlignment="1">
      <alignment horizontal="center" vertical="center"/>
    </xf>
    <xf numFmtId="165" fontId="5" fillId="9" borderId="4" xfId="0" applyNumberFormat="1" applyFont="1" applyFill="1" applyBorder="1" applyAlignment="1">
      <alignment horizontal="center" vertical="center"/>
    </xf>
    <xf numFmtId="168" fontId="9" fillId="9" borderId="4" xfId="0" applyNumberFormat="1" applyFont="1" applyFill="1" applyBorder="1" applyAlignment="1">
      <alignment horizontal="center" vertical="center"/>
    </xf>
    <xf numFmtId="4" fontId="9" fillId="9" borderId="4" xfId="0" applyNumberFormat="1" applyFont="1" applyFill="1" applyBorder="1" applyAlignment="1">
      <alignment horizontal="right" vertical="center"/>
    </xf>
    <xf numFmtId="0" fontId="84" fillId="2" borderId="4" xfId="0" applyFont="1" applyFill="1" applyBorder="1" applyAlignment="1">
      <alignment horizontal="center" vertical="center"/>
    </xf>
    <xf numFmtId="168" fontId="9" fillId="2" borderId="4" xfId="0" applyNumberFormat="1" applyFont="1" applyFill="1" applyBorder="1" applyAlignment="1">
      <alignment horizontal="center" vertical="center"/>
    </xf>
    <xf numFmtId="4" fontId="9" fillId="2" borderId="4" xfId="0" applyNumberFormat="1" applyFont="1" applyFill="1" applyBorder="1" applyAlignment="1">
      <alignment horizontal="right" vertical="center"/>
    </xf>
    <xf numFmtId="0" fontId="29" fillId="43" borderId="12" xfId="0" applyFont="1" applyFill="1" applyBorder="1" applyAlignment="1">
      <alignment horizontal="center" vertical="center" wrapText="1"/>
    </xf>
    <xf numFmtId="0" fontId="86" fillId="14" borderId="12" xfId="0" applyFont="1" applyFill="1" applyBorder="1" applyAlignment="1">
      <alignment horizontal="center" vertical="center" wrapText="1"/>
    </xf>
    <xf numFmtId="1" fontId="87" fillId="14" borderId="12" xfId="0" applyNumberFormat="1" applyFont="1" applyFill="1" applyBorder="1" applyAlignment="1">
      <alignment horizontal="center" vertical="center" wrapText="1"/>
    </xf>
    <xf numFmtId="0" fontId="87" fillId="14" borderId="12" xfId="0" applyFont="1" applyFill="1" applyBorder="1" applyAlignment="1">
      <alignment horizontal="center" vertical="center" wrapText="1"/>
    </xf>
    <xf numFmtId="4" fontId="87" fillId="14" borderId="12" xfId="0" applyNumberFormat="1" applyFont="1" applyFill="1" applyBorder="1" applyAlignment="1">
      <alignment horizontal="center" vertical="center" wrapText="1"/>
    </xf>
    <xf numFmtId="165" fontId="87" fillId="14" borderId="12" xfId="0" applyNumberFormat="1" applyFont="1" applyFill="1" applyBorder="1" applyAlignment="1">
      <alignment horizontal="center" vertical="center" wrapText="1"/>
    </xf>
    <xf numFmtId="0" fontId="86" fillId="2" borderId="12" xfId="0" applyFont="1" applyFill="1" applyBorder="1" applyAlignment="1">
      <alignment horizontal="center" vertical="center" wrapText="1"/>
    </xf>
    <xf numFmtId="1" fontId="87" fillId="2" borderId="12" xfId="0" applyNumberFormat="1" applyFont="1" applyFill="1" applyBorder="1" applyAlignment="1">
      <alignment horizontal="center" vertical="center" wrapText="1"/>
    </xf>
    <xf numFmtId="0" fontId="87" fillId="2" borderId="12" xfId="0" applyFont="1" applyFill="1" applyBorder="1" applyAlignment="1">
      <alignment horizontal="center" vertical="center" wrapText="1"/>
    </xf>
    <xf numFmtId="4" fontId="87" fillId="2" borderId="12" xfId="0" applyNumberFormat="1" applyFont="1" applyFill="1" applyBorder="1" applyAlignment="1">
      <alignment horizontal="center" vertical="center" wrapText="1"/>
    </xf>
    <xf numFmtId="165" fontId="87" fillId="2" borderId="12" xfId="0" applyNumberFormat="1" applyFont="1" applyFill="1" applyBorder="1" applyAlignment="1">
      <alignment horizontal="center" vertical="center" wrapText="1"/>
    </xf>
    <xf numFmtId="0" fontId="86" fillId="14" borderId="12" xfId="0" applyFont="1" applyFill="1" applyBorder="1" applyAlignment="1">
      <alignment horizontal="center" vertical="center"/>
    </xf>
    <xf numFmtId="4" fontId="87" fillId="14" borderId="12" xfId="0" applyNumberFormat="1" applyFont="1" applyFill="1" applyBorder="1" applyAlignment="1">
      <alignment horizontal="center" vertical="center"/>
    </xf>
    <xf numFmtId="0" fontId="87" fillId="14" borderId="12" xfId="0" applyFont="1" applyFill="1" applyBorder="1" applyAlignment="1">
      <alignment horizontal="center" vertical="center"/>
    </xf>
    <xf numFmtId="165" fontId="87" fillId="14" borderId="12" xfId="0" applyNumberFormat="1" applyFont="1" applyFill="1" applyBorder="1" applyAlignment="1">
      <alignment horizontal="center" vertical="center"/>
    </xf>
    <xf numFmtId="0" fontId="86" fillId="2" borderId="12" xfId="0" applyFont="1" applyFill="1" applyBorder="1" applyAlignment="1">
      <alignment horizontal="center" vertical="center"/>
    </xf>
    <xf numFmtId="0" fontId="87" fillId="2" borderId="12" xfId="0" applyFont="1" applyFill="1" applyBorder="1" applyAlignment="1">
      <alignment horizontal="center" vertical="center"/>
    </xf>
    <xf numFmtId="4" fontId="87" fillId="2" borderId="12" xfId="0" applyNumberFormat="1" applyFont="1" applyFill="1" applyBorder="1" applyAlignment="1">
      <alignment horizontal="center" vertical="center"/>
    </xf>
    <xf numFmtId="165" fontId="87" fillId="2" borderId="12" xfId="0" applyNumberFormat="1" applyFont="1" applyFill="1" applyBorder="1" applyAlignment="1">
      <alignment horizontal="center" vertical="center"/>
    </xf>
    <xf numFmtId="4" fontId="29" fillId="43" borderId="12" xfId="0" applyNumberFormat="1" applyFont="1" applyFill="1" applyBorder="1" applyAlignment="1">
      <alignment horizontal="center" vertical="center"/>
    </xf>
    <xf numFmtId="0" fontId="0" fillId="43" borderId="12" xfId="0" applyFill="1" applyBorder="1"/>
    <xf numFmtId="0" fontId="88" fillId="17" borderId="4" xfId="0" applyFont="1" applyFill="1" applyBorder="1" applyAlignment="1">
      <alignment horizontal="left" vertical="center"/>
    </xf>
    <xf numFmtId="0" fontId="89" fillId="33" borderId="4" xfId="0" applyFont="1" applyFill="1" applyBorder="1" applyAlignment="1">
      <alignment horizontal="left" vertical="center"/>
    </xf>
    <xf numFmtId="0" fontId="90" fillId="17" borderId="4" xfId="0" applyFont="1" applyFill="1" applyBorder="1" applyAlignment="1">
      <alignment horizontal="left" vertical="center"/>
    </xf>
    <xf numFmtId="0" fontId="91" fillId="33" borderId="4" xfId="0" applyFont="1" applyFill="1" applyBorder="1" applyAlignment="1">
      <alignment horizontal="left" vertical="center"/>
    </xf>
    <xf numFmtId="0" fontId="17" fillId="2" borderId="4" xfId="0" applyFont="1" applyFill="1" applyBorder="1" applyAlignment="1">
      <alignment vertical="center"/>
    </xf>
    <xf numFmtId="0" fontId="92" fillId="26" borderId="4" xfId="0" applyFont="1" applyFill="1" applyBorder="1" applyAlignment="1">
      <alignment horizontal="left" vertical="center"/>
    </xf>
    <xf numFmtId="0" fontId="93" fillId="5" borderId="4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right"/>
    </xf>
    <xf numFmtId="0" fontId="3" fillId="3" borderId="3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left" vertical="center"/>
    </xf>
    <xf numFmtId="0" fontId="47" fillId="5" borderId="4" xfId="0" applyFont="1" applyFill="1" applyBorder="1" applyAlignment="1">
      <alignment horizontal="left" vertical="center"/>
    </xf>
    <xf numFmtId="0" fontId="50" fillId="21" borderId="0" xfId="0" applyFont="1" applyFill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30" fillId="20" borderId="4" xfId="0" applyFont="1" applyFill="1" applyBorder="1" applyAlignment="1">
      <alignment horizontal="center" vertical="center"/>
    </xf>
    <xf numFmtId="0" fontId="30" fillId="18" borderId="8" xfId="0" applyFont="1" applyFill="1" applyBorder="1" applyAlignment="1">
      <alignment horizontal="center" vertical="center"/>
    </xf>
    <xf numFmtId="0" fontId="30" fillId="10" borderId="8" xfId="0" applyFont="1" applyFill="1" applyBorder="1" applyAlignment="1">
      <alignment horizontal="center" vertical="center"/>
    </xf>
    <xf numFmtId="0" fontId="30" fillId="10" borderId="9" xfId="0" applyFont="1" applyFill="1" applyBorder="1" applyAlignment="1">
      <alignment horizontal="center" vertical="center"/>
    </xf>
    <xf numFmtId="165" fontId="44" fillId="12" borderId="7" xfId="0" applyNumberFormat="1" applyFont="1" applyFill="1" applyBorder="1" applyAlignment="1">
      <alignment horizontal="center" vertical="center"/>
    </xf>
    <xf numFmtId="165" fontId="44" fillId="10" borderId="7" xfId="0" applyNumberFormat="1" applyFont="1" applyFill="1" applyBorder="1" applyAlignment="1">
      <alignment horizontal="center" vertical="center"/>
    </xf>
    <xf numFmtId="165" fontId="37" fillId="10" borderId="7" xfId="0" applyNumberFormat="1" applyFont="1" applyFill="1" applyBorder="1" applyAlignment="1">
      <alignment horizontal="left" vertical="center"/>
    </xf>
    <xf numFmtId="0" fontId="34" fillId="16" borderId="4" xfId="0" applyFont="1" applyFill="1" applyBorder="1" applyAlignment="1">
      <alignment horizontal="center" vertical="center"/>
    </xf>
    <xf numFmtId="0" fontId="41" fillId="17" borderId="7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4" fontId="42" fillId="4" borderId="7" xfId="0" applyNumberFormat="1" applyFont="1" applyFill="1" applyBorder="1" applyAlignment="1">
      <alignment horizontal="center" vertical="center"/>
    </xf>
    <xf numFmtId="0" fontId="29" fillId="8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7" fillId="13" borderId="6" xfId="0" applyFont="1" applyFill="1" applyBorder="1" applyAlignment="1">
      <alignment horizontal="center" vertical="center"/>
    </xf>
    <xf numFmtId="0" fontId="30" fillId="13" borderId="4" xfId="0" applyFont="1" applyFill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0" fillId="0" borderId="0" xfId="0"/>
    <xf numFmtId="3" fontId="45" fillId="33" borderId="4" xfId="0" applyNumberFormat="1" applyFont="1" applyFill="1" applyBorder="1" applyAlignment="1">
      <alignment horizontal="left" vertical="center"/>
    </xf>
    <xf numFmtId="0" fontId="4" fillId="32" borderId="4" xfId="0" applyFont="1" applyFill="1" applyBorder="1" applyAlignment="1">
      <alignment horizontal="center" vertical="center" wrapText="1"/>
    </xf>
    <xf numFmtId="3" fontId="59" fillId="25" borderId="0" xfId="0" applyNumberFormat="1" applyFont="1" applyFill="1" applyAlignment="1">
      <alignment horizontal="center" vertical="center"/>
    </xf>
    <xf numFmtId="4" fontId="59" fillId="25" borderId="0" xfId="0" applyNumberFormat="1" applyFont="1" applyFill="1" applyAlignment="1">
      <alignment horizontal="center" vertical="center"/>
    </xf>
    <xf numFmtId="3" fontId="60" fillId="25" borderId="0" xfId="0" applyNumberFormat="1" applyFont="1" applyFill="1" applyAlignment="1">
      <alignment horizontal="center" vertical="center"/>
    </xf>
    <xf numFmtId="3" fontId="61" fillId="25" borderId="0" xfId="0" applyNumberFormat="1" applyFont="1" applyFill="1" applyAlignment="1">
      <alignment horizontal="center" vertical="center"/>
    </xf>
    <xf numFmtId="0" fontId="0" fillId="24" borderId="0" xfId="0" applyFill="1"/>
    <xf numFmtId="0" fontId="0" fillId="22" borderId="0" xfId="0" applyFill="1"/>
    <xf numFmtId="0" fontId="0" fillId="7" borderId="0" xfId="0" applyFill="1"/>
    <xf numFmtId="0" fontId="58" fillId="24" borderId="0" xfId="0" applyFont="1" applyFill="1" applyAlignment="1">
      <alignment horizontal="center" vertical="center"/>
    </xf>
    <xf numFmtId="0" fontId="25" fillId="25" borderId="0" xfId="0" applyFont="1" applyFill="1" applyAlignment="1">
      <alignment horizontal="center" vertical="center"/>
    </xf>
    <xf numFmtId="0" fontId="0" fillId="21" borderId="0" xfId="0" applyFill="1"/>
    <xf numFmtId="0" fontId="0" fillId="3" borderId="0" xfId="0" applyFill="1"/>
    <xf numFmtId="0" fontId="0" fillId="4" borderId="0" xfId="0" applyFill="1"/>
    <xf numFmtId="0" fontId="0" fillId="23" borderId="0" xfId="0" applyFill="1"/>
    <xf numFmtId="0" fontId="0" fillId="8" borderId="0" xfId="0" applyFill="1"/>
    <xf numFmtId="3" fontId="57" fillId="21" borderId="0" xfId="0" applyNumberFormat="1" applyFont="1" applyFill="1" applyAlignment="1">
      <alignment horizontal="center" vertical="center"/>
    </xf>
    <xf numFmtId="4" fontId="52" fillId="21" borderId="0" xfId="0" applyNumberFormat="1" applyFont="1" applyFill="1" applyAlignment="1">
      <alignment horizontal="center" vertical="center"/>
    </xf>
    <xf numFmtId="3" fontId="53" fillId="21" borderId="0" xfId="0" applyNumberFormat="1" applyFont="1" applyFill="1" applyAlignment="1">
      <alignment horizontal="center" vertical="center"/>
    </xf>
    <xf numFmtId="3" fontId="54" fillId="21" borderId="0" xfId="0" applyNumberFormat="1" applyFont="1" applyFill="1" applyAlignment="1">
      <alignment horizontal="center" vertical="center"/>
    </xf>
    <xf numFmtId="3" fontId="55" fillId="21" borderId="0" xfId="0" applyNumberFormat="1" applyFont="1" applyFill="1" applyAlignment="1">
      <alignment horizontal="center" vertical="center"/>
    </xf>
    <xf numFmtId="168" fontId="56" fillId="21" borderId="0" xfId="0" applyNumberFormat="1" applyFont="1" applyFill="1" applyAlignment="1">
      <alignment horizontal="center" vertical="center"/>
    </xf>
    <xf numFmtId="0" fontId="51" fillId="3" borderId="0" xfId="0" applyFont="1" applyFill="1" applyAlignment="1">
      <alignment horizontal="center" vertical="center"/>
    </xf>
    <xf numFmtId="0" fontId="25" fillId="21" borderId="0" xfId="0" applyFont="1" applyFill="1" applyAlignment="1">
      <alignment horizontal="center" vertical="center"/>
    </xf>
    <xf numFmtId="3" fontId="45" fillId="17" borderId="7" xfId="0" applyNumberFormat="1" applyFont="1" applyFill="1" applyBorder="1" applyAlignment="1">
      <alignment horizontal="left" vertical="center"/>
    </xf>
    <xf numFmtId="3" fontId="45" fillId="17" borderId="10" xfId="0" applyNumberFormat="1" applyFont="1" applyFill="1" applyBorder="1" applyAlignment="1">
      <alignment horizontal="left" vertical="center"/>
    </xf>
    <xf numFmtId="3" fontId="45" fillId="17" borderId="11" xfId="0" applyNumberFormat="1" applyFont="1" applyFill="1" applyBorder="1" applyAlignment="1">
      <alignment horizontal="left" vertical="center"/>
    </xf>
    <xf numFmtId="0" fontId="58" fillId="31" borderId="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58" fillId="8" borderId="3" xfId="0" applyFont="1" applyFill="1" applyBorder="1" applyAlignment="1">
      <alignment horizontal="center" vertical="center"/>
    </xf>
    <xf numFmtId="3" fontId="83" fillId="35" borderId="0" xfId="0" applyNumberFormat="1" applyFont="1" applyFill="1" applyAlignment="1">
      <alignment horizontal="center" vertical="center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1" borderId="0" xfId="0" applyFill="1"/>
    <xf numFmtId="4" fontId="78" fillId="35" borderId="0" xfId="0" applyNumberFormat="1" applyFont="1" applyFill="1" applyAlignment="1">
      <alignment horizontal="center" vertical="center"/>
    </xf>
    <xf numFmtId="3" fontId="79" fillId="35" borderId="0" xfId="0" applyNumberFormat="1" applyFont="1" applyFill="1" applyAlignment="1">
      <alignment horizontal="center" vertical="center"/>
    </xf>
    <xf numFmtId="3" fontId="80" fillId="35" borderId="0" xfId="0" applyNumberFormat="1" applyFont="1" applyFill="1" applyAlignment="1">
      <alignment horizontal="center" vertical="center"/>
    </xf>
    <xf numFmtId="3" fontId="81" fillId="35" borderId="0" xfId="0" applyNumberFormat="1" applyFont="1" applyFill="1" applyAlignment="1">
      <alignment horizontal="center" vertical="center"/>
    </xf>
    <xf numFmtId="168" fontId="82" fillId="35" borderId="0" xfId="0" applyNumberFormat="1" applyFont="1" applyFill="1" applyAlignment="1">
      <alignment horizontal="center" vertical="center"/>
    </xf>
    <xf numFmtId="0" fontId="24" fillId="34" borderId="0" xfId="0" applyFont="1" applyFill="1" applyAlignment="1">
      <alignment horizontal="center" vertical="center"/>
    </xf>
    <xf numFmtId="0" fontId="76" fillId="35" borderId="0" xfId="0" applyFont="1" applyFill="1" applyAlignment="1">
      <alignment horizontal="center" vertical="center"/>
    </xf>
    <xf numFmtId="0" fontId="77" fillId="35" borderId="0" xfId="0" applyFont="1" applyFill="1" applyAlignment="1">
      <alignment horizontal="center" vertical="center"/>
    </xf>
    <xf numFmtId="0" fontId="29" fillId="3" borderId="13" xfId="0" applyFont="1" applyFill="1" applyBorder="1" applyAlignment="1">
      <alignment horizontal="center" vertical="center"/>
    </xf>
    <xf numFmtId="0" fontId="29" fillId="3" borderId="14" xfId="0" applyFont="1" applyFill="1" applyBorder="1" applyAlignment="1">
      <alignment horizontal="center" vertical="center"/>
    </xf>
    <xf numFmtId="0" fontId="29" fillId="3" borderId="0" xfId="0" applyFont="1" applyFill="1" applyAlignment="1">
      <alignment horizontal="right" vertical="center"/>
    </xf>
    <xf numFmtId="0" fontId="6" fillId="42" borderId="0" xfId="0" applyFont="1" applyFill="1" applyAlignment="1">
      <alignment horizontal="left" vertical="center"/>
    </xf>
    <xf numFmtId="0" fontId="85" fillId="21" borderId="0" xfId="0" applyFont="1" applyFill="1" applyAlignment="1">
      <alignment horizontal="left" vertical="center"/>
    </xf>
    <xf numFmtId="0" fontId="86" fillId="14" borderId="12" xfId="0" applyFont="1" applyFill="1" applyBorder="1" applyAlignment="1">
      <alignment horizontal="center" vertical="center"/>
    </xf>
    <xf numFmtId="0" fontId="29" fillId="4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b/>
        <sz val="9"/>
        <color rgb="FFFFFFFF"/>
        <name val="Arial"/>
        <charset val="1"/>
      </font>
      <fill>
        <patternFill>
          <bgColor rgb="FF2E7D32"/>
        </patternFill>
      </fill>
    </dxf>
    <dxf>
      <font>
        <b/>
        <sz val="9"/>
        <color rgb="FFFFFFFF"/>
        <name val="Arial"/>
        <charset val="1"/>
      </font>
      <fill>
        <patternFill>
          <bgColor rgb="FF00695C"/>
        </patternFill>
      </fill>
    </dxf>
    <dxf>
      <font>
        <b/>
        <sz val="9"/>
        <color rgb="FFFFFFFF"/>
        <name val="Arial"/>
        <charset val="1"/>
      </font>
      <fill>
        <patternFill>
          <bgColor rgb="FFAD1457"/>
        </patternFill>
      </fill>
    </dxf>
    <dxf>
      <font>
        <b/>
        <sz val="9"/>
        <color rgb="FFFFFFFF"/>
        <name val="Arial"/>
        <charset val="1"/>
      </font>
      <fill>
        <patternFill>
          <bgColor rgb="FF00838F"/>
        </patternFill>
      </fill>
    </dxf>
    <dxf>
      <font>
        <b/>
        <sz val="9"/>
        <color rgb="FFFFFFFF"/>
        <name val="Arial"/>
        <charset val="1"/>
      </font>
      <fill>
        <patternFill>
          <bgColor rgb="FFBF360C"/>
        </patternFill>
      </fill>
    </dxf>
    <dxf>
      <font>
        <b/>
        <sz val="9"/>
        <color rgb="FFFFFFFF"/>
        <name val="Arial"/>
        <charset val="1"/>
      </font>
      <fill>
        <patternFill>
          <bgColor rgb="FFF57F17"/>
        </patternFill>
      </fill>
    </dxf>
    <dxf>
      <font>
        <b/>
        <sz val="9"/>
        <color rgb="FFFFFFFF"/>
        <name val="Arial"/>
        <charset val="1"/>
      </font>
      <fill>
        <patternFill>
          <bgColor rgb="FF6A1B9A"/>
        </patternFill>
      </fill>
    </dxf>
    <dxf>
      <font>
        <b/>
        <sz val="9"/>
        <color rgb="FFFFFFFF"/>
        <name val="Arial"/>
        <charset val="1"/>
      </font>
      <fill>
        <patternFill>
          <bgColor rgb="FF1565C0"/>
        </patternFill>
      </fill>
    </dxf>
    <dxf>
      <font>
        <b/>
        <sz val="9"/>
        <color rgb="FFFFFFFF"/>
        <name val="Arial"/>
        <charset val="1"/>
      </font>
      <fill>
        <patternFill>
          <bgColor rgb="FF2E7D32"/>
        </patternFill>
      </fill>
    </dxf>
    <dxf>
      <font>
        <b/>
        <sz val="10"/>
        <color rgb="FFFFFFFF"/>
        <name val="Arial"/>
        <charset val="1"/>
      </font>
      <fill>
        <patternFill>
          <bgColor rgb="FF2E7D32"/>
        </patternFill>
      </fill>
    </dxf>
    <dxf>
      <font>
        <b/>
        <sz val="11"/>
        <color rgb="FFFFFFFF"/>
        <name val="Arial"/>
        <charset val="1"/>
      </font>
      <fill>
        <patternFill>
          <bgColor rgb="FF00695C"/>
        </patternFill>
      </fill>
    </dxf>
    <dxf>
      <font>
        <b/>
        <sz val="11"/>
        <color rgb="FFFFFFFF"/>
        <name val="Arial"/>
        <charset val="1"/>
      </font>
      <fill>
        <patternFill>
          <bgColor rgb="FFAD1457"/>
        </patternFill>
      </fill>
    </dxf>
    <dxf>
      <font>
        <b/>
        <sz val="11"/>
        <color rgb="FFFFFFFF"/>
        <name val="Arial"/>
        <charset val="1"/>
      </font>
      <fill>
        <patternFill>
          <bgColor rgb="FF00838F"/>
        </patternFill>
      </fill>
    </dxf>
    <dxf>
      <font>
        <b/>
        <sz val="11"/>
        <color rgb="FFFFFFFF"/>
        <name val="Arial"/>
        <charset val="1"/>
      </font>
      <fill>
        <patternFill>
          <bgColor rgb="FFBF360C"/>
        </patternFill>
      </fill>
    </dxf>
    <dxf>
      <font>
        <b/>
        <sz val="11"/>
        <color rgb="FFFFFFFF"/>
        <name val="Arial"/>
        <charset val="1"/>
      </font>
      <fill>
        <patternFill>
          <bgColor rgb="FFF57F17"/>
        </patternFill>
      </fill>
    </dxf>
    <dxf>
      <font>
        <b/>
        <sz val="11"/>
        <color rgb="FFFFFFFF"/>
        <name val="Arial"/>
        <charset val="1"/>
      </font>
      <fill>
        <patternFill>
          <bgColor rgb="FF6A1B9A"/>
        </patternFill>
      </fill>
    </dxf>
    <dxf>
      <font>
        <b/>
        <sz val="11"/>
        <color rgb="FFFFFFFF"/>
        <name val="Arial"/>
        <charset val="1"/>
      </font>
      <fill>
        <patternFill>
          <bgColor rgb="FF1565C0"/>
        </patternFill>
      </fill>
    </dxf>
    <dxf>
      <font>
        <b/>
        <sz val="11"/>
        <color rgb="FFFFFFFF"/>
        <name val="Arial"/>
        <charset val="1"/>
      </font>
      <fill>
        <patternFill>
          <bgColor rgb="FF2E7D32"/>
        </patternFill>
      </fill>
    </dxf>
    <dxf>
      <font>
        <b/>
        <sz val="20"/>
        <color rgb="FFFFFFFF"/>
        <name val="Arial"/>
        <charset val="1"/>
      </font>
      <fill>
        <patternFill>
          <bgColor rgb="FFC62828"/>
        </patternFill>
      </fill>
    </dxf>
    <dxf>
      <font>
        <b/>
        <sz val="20"/>
        <color rgb="FFFFFFFF"/>
        <name val="Arial"/>
        <charset val="1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C62828"/>
        </patternFill>
      </fill>
    </dxf>
    <dxf>
      <font>
        <b/>
        <color rgb="FFFFFFFF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800080"/>
        </patternFill>
      </fill>
    </dxf>
    <dxf>
      <font>
        <b/>
        <color rgb="FFFFFFFF"/>
      </font>
      <fill>
        <patternFill>
          <bgColor rgb="FFFF8C00"/>
        </patternFill>
      </fill>
    </dxf>
    <dxf>
      <font>
        <b/>
        <color rgb="FF000000"/>
      </font>
      <fill>
        <patternFill>
          <bgColor rgb="FFFFFF00"/>
        </patternFill>
      </fill>
    </dxf>
    <dxf>
      <font>
        <b/>
        <sz val="10"/>
        <color rgb="FFFFFFFF"/>
        <name val="Arial"/>
        <charset val="1"/>
      </font>
      <fill>
        <patternFill>
          <bgColor rgb="FFC62828"/>
        </patternFill>
      </fill>
    </dxf>
    <dxf>
      <font>
        <b/>
        <sz val="10"/>
        <color rgb="FFFFFFFF"/>
        <name val="Arial"/>
        <charset val="1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00B050"/>
        </patternFill>
      </fill>
    </dxf>
    <dxf>
      <font>
        <b/>
        <sz val="9"/>
        <color rgb="FFFFFFFF"/>
        <name val="Arial"/>
        <charset val="1"/>
      </font>
      <fill>
        <patternFill>
          <bgColor rgb="FF2E7D32"/>
        </patternFill>
      </fill>
    </dxf>
    <dxf>
      <font>
        <b/>
        <color rgb="FFFFFFFF"/>
      </font>
      <fill>
        <patternFill>
          <bgColor rgb="FF808080"/>
        </patternFill>
      </fill>
    </dxf>
    <dxf>
      <font>
        <b/>
        <sz val="9"/>
        <color rgb="FFFFFFFF"/>
        <name val="Arial"/>
        <charset val="1"/>
      </font>
      <fill>
        <patternFill>
          <bgColor rgb="FF00695C"/>
        </patternFill>
      </fill>
    </dxf>
    <dxf>
      <font>
        <b/>
        <sz val="9"/>
        <color rgb="FFFFFFFF"/>
        <name val="Arial"/>
        <charset val="1"/>
      </font>
      <fill>
        <patternFill>
          <bgColor rgb="FFAD1457"/>
        </patternFill>
      </fill>
    </dxf>
    <dxf>
      <font>
        <b/>
        <sz val="9"/>
        <color rgb="FFFFFFFF"/>
        <name val="Arial"/>
        <charset val="1"/>
      </font>
      <fill>
        <patternFill>
          <bgColor rgb="FF00838F"/>
        </patternFill>
      </fill>
    </dxf>
    <dxf>
      <font>
        <b/>
        <sz val="9"/>
        <color rgb="FFFFFFFF"/>
        <name val="Arial"/>
        <charset val="1"/>
      </font>
      <fill>
        <patternFill>
          <bgColor rgb="FFBF360C"/>
        </patternFill>
      </fill>
    </dxf>
    <dxf>
      <font>
        <b/>
        <sz val="9"/>
        <color rgb="FFFFFFFF"/>
        <name val="Arial"/>
        <charset val="1"/>
      </font>
      <fill>
        <patternFill>
          <bgColor rgb="FFF57F17"/>
        </patternFill>
      </fill>
    </dxf>
    <dxf>
      <font>
        <b/>
        <sz val="9"/>
        <color rgb="FFFFFFFF"/>
        <name val="Arial"/>
        <charset val="1"/>
      </font>
      <fill>
        <patternFill>
          <bgColor rgb="FF6A1B9A"/>
        </patternFill>
      </fill>
    </dxf>
    <dxf>
      <font>
        <b/>
        <sz val="9"/>
        <color rgb="FFFFFFFF"/>
        <name val="Arial"/>
        <charset val="1"/>
      </font>
      <fill>
        <patternFill>
          <bgColor rgb="FF1565C0"/>
        </patternFill>
      </fill>
    </dxf>
    <dxf>
      <font>
        <b/>
        <sz val="9"/>
        <color rgb="FFFFFFFF"/>
        <name val="Arial"/>
        <charset val="1"/>
      </font>
      <fill>
        <patternFill>
          <bgColor rgb="FF2E7D3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AFAFA"/>
      <rgbColor rgb="FF1E3A5F"/>
      <rgbColor rgb="FFFFFF00"/>
      <rgbColor rgb="FFFFF5F5"/>
      <rgbColor rgb="FFF0F4FF"/>
      <rgbColor rgb="FFC00000"/>
      <rgbColor rgb="FF1B5E20"/>
      <rgbColor rgb="FF070A7F"/>
      <rgbColor rgb="FF00695C"/>
      <rgbColor rgb="FF76028B"/>
      <rgbColor rgb="FF00838F"/>
      <rgbColor rgb="FFCCCCCC"/>
      <rgbColor rgb="FF7C7D7F"/>
      <rgbColor rgb="FFA5D6A7"/>
      <rgbColor rgb="FFAD1457"/>
      <rgbColor rgb="FFFFFBE5"/>
      <rgbColor rgb="FFE0F7FA"/>
      <rgbColor rgb="FF4A148C"/>
      <rgbColor rgb="FFE8EAF6"/>
      <rgbColor rgb="FF1665CB"/>
      <rgbColor rgb="FFD1D5DB"/>
      <rgbColor rgb="FF1E3862"/>
      <rgbColor rgb="FFFFFEF5"/>
      <rgbColor rgb="FFF0FFF0"/>
      <rgbColor rgb="FFF5F5F5"/>
      <rgbColor rgb="FF6A1B9A"/>
      <rgbColor rgb="FFFAFFFE"/>
      <rgbColor rgb="FF008888"/>
      <rgbColor rgb="FF006064"/>
      <rgbColor rgb="FFF8F9FA"/>
      <rgbColor rgb="FFE3F2FD"/>
      <rgbColor rgb="FFE4F3F2"/>
      <rgbColor rgb="FFFFF277"/>
      <rgbColor rgb="FF7ACFEA"/>
      <rgbColor rgb="FFEF9A9A"/>
      <rgbColor rgb="FFCE93D8"/>
      <rgbColor rgb="FFF3E5F5"/>
      <rgbColor rgb="FF0D47A1"/>
      <rgbColor rgb="FF00B050"/>
      <rgbColor rgb="FFEFF3FB"/>
      <rgbColor rgb="FFEDE7F6"/>
      <rgbColor rgb="FFFA820B"/>
      <rgbColor rgb="FFD13906"/>
      <rgbColor rgb="FF55555E"/>
      <rgbColor rgb="FF6D95AA"/>
      <rgbColor rgb="FF1E3864"/>
      <rgbColor rgb="FF2E7D32"/>
      <rgbColor rgb="FF0A1120"/>
      <rgbColor rgb="FF444545"/>
      <rgbColor rgb="FFB71C1C"/>
      <rgbColor rgb="FFC62828"/>
      <rgbColor rgb="FF2E4A7A"/>
      <rgbColor rgb="FF282D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Valor por Status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C94B-4CC5-99F6-98C63E842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68321"/>
        <c:axId val="74151453"/>
      </c:barChart>
      <c:catAx>
        <c:axId val="7268321"/>
        <c:scaling>
          <c:orientation val="minMax"/>
        </c:scaling>
        <c:delete val="0"/>
        <c:axPos val="l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4151453"/>
        <c:crosses val="autoZero"/>
        <c:auto val="1"/>
        <c:lblAlgn val="ctr"/>
        <c:lblOffset val="100"/>
        <c:noMultiLvlLbl val="0"/>
      </c:catAx>
      <c:valAx>
        <c:axId val="7415145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2683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Qtd Pedida vs Expedida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4368-4637-BF60-622FC059272F}"/>
            </c:ext>
          </c:extLst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1-4368-4637-BF60-622FC0592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64253"/>
        <c:axId val="87037851"/>
      </c:barChart>
      <c:catAx>
        <c:axId val="77864253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87037851"/>
        <c:crosses val="autoZero"/>
        <c:auto val="1"/>
        <c:lblAlgn val="ctr"/>
        <c:lblOffset val="100"/>
        <c:noMultiLvlLbl val="0"/>
      </c:catAx>
      <c:valAx>
        <c:axId val="87037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778642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Expedido vs Pendente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tLst>
            <c:ext xmlns:c16="http://schemas.microsoft.com/office/drawing/2014/chart" uri="{C3380CC4-5D6E-409C-BE32-E72D297353CC}">
              <c16:uniqueId val="{00000000-AB48-4E81-B912-87762DEDD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0"/>
  <c:style val="2"/>
  <c:chart>
    <c:title>
      <c:tx>
        <c:rich>
          <a:bodyPr rot="0"/>
          <a:lstStyle/>
          <a:p>
            <a:pPr>
              <a:defRPr lang="pt-B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Calibri"/>
              </a:rPr>
              <a:t>Qtd por Armazém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6DD0-476C-9BC3-7F91856C101F}"/>
            </c:ext>
          </c:extLst>
        </c:ser>
        <c:ser>
          <c:idx val="1"/>
          <c:order val="1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1-6DD0-476C-9BC3-7F91856C1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4480"/>
        <c:axId val="26560844"/>
      </c:barChart>
      <c:catAx>
        <c:axId val="2544480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6560844"/>
        <c:crosses val="autoZero"/>
        <c:auto val="1"/>
        <c:lblAlgn val="ctr"/>
        <c:lblOffset val="100"/>
        <c:noMultiLvlLbl val="0"/>
      </c:catAx>
      <c:valAx>
        <c:axId val="265608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2544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Coleta SKF vs Entrega Cliente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tLst>
            <c:ext xmlns:c16="http://schemas.microsoft.com/office/drawing/2014/chart" uri="{C3380CC4-5D6E-409C-BE32-E72D297353CC}">
              <c16:uniqueId val="{00000000-15A2-4DEE-9D27-87EBDA52D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Valor (USD) por Armazém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extLst>
            <c:ext xmlns:c16="http://schemas.microsoft.com/office/drawing/2014/chart" uri="{C3380CC4-5D6E-409C-BE32-E72D297353CC}">
              <c16:uniqueId val="{00000000-0779-45C1-944A-2CCCFF1F5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95690"/>
        <c:axId val="32669532"/>
      </c:barChart>
      <c:catAx>
        <c:axId val="37295690"/>
        <c:scaling>
          <c:orientation val="minMax"/>
        </c:scaling>
        <c:delete val="0"/>
        <c:axPos val="l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2669532"/>
        <c:crosses val="autoZero"/>
        <c:auto val="1"/>
        <c:lblAlgn val="ctr"/>
        <c:lblOffset val="100"/>
        <c:noMultiLvlLbl val="0"/>
      </c:catAx>
      <c:valAx>
        <c:axId val="3266953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pt-BR"/>
          </a:p>
        </c:txPr>
        <c:crossAx val="372956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12600</xdr:colOff>
      <xdr:row>1</xdr:row>
      <xdr:rowOff>44280</xdr:rowOff>
    </xdr:from>
    <xdr:to>
      <xdr:col>1</xdr:col>
      <xdr:colOff>942480</xdr:colOff>
      <xdr:row>2</xdr:row>
      <xdr:rowOff>169200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4080" y="101520"/>
          <a:ext cx="929880" cy="30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19080</xdr:colOff>
      <xdr:row>3</xdr:row>
      <xdr:rowOff>12600</xdr:rowOff>
    </xdr:from>
    <xdr:to>
      <xdr:col>1</xdr:col>
      <xdr:colOff>947520</xdr:colOff>
      <xdr:row>4</xdr:row>
      <xdr:rowOff>131760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0560" y="431640"/>
          <a:ext cx="928440" cy="30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127080</xdr:colOff>
      <xdr:row>2</xdr:row>
      <xdr:rowOff>57240</xdr:rowOff>
    </xdr:from>
    <xdr:to>
      <xdr:col>7</xdr:col>
      <xdr:colOff>561960</xdr:colOff>
      <xdr:row>3</xdr:row>
      <xdr:rowOff>167760</xdr:rowOff>
    </xdr:to>
    <xdr:pic>
      <xdr:nvPicPr>
        <xdr:cNvPr id="4" name="Imagem 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7611120" y="295200"/>
          <a:ext cx="1351080" cy="2916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10</xdr:col>
      <xdr:colOff>131760</xdr:colOff>
      <xdr:row>31</xdr:row>
      <xdr:rowOff>103320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7</xdr:row>
      <xdr:rowOff>0</xdr:rowOff>
    </xdr:from>
    <xdr:to>
      <xdr:col>25</xdr:col>
      <xdr:colOff>411840</xdr:colOff>
      <xdr:row>31</xdr:row>
      <xdr:rowOff>103320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0</xdr:rowOff>
    </xdr:from>
    <xdr:to>
      <xdr:col>7</xdr:col>
      <xdr:colOff>446400</xdr:colOff>
      <xdr:row>51</xdr:row>
      <xdr:rowOff>124200</xdr:rowOff>
    </xdr:to>
    <xdr:graphicFrame macro="">
      <xdr:nvGraphicFramePr>
        <xdr:cNvPr id="5" name="Chart 3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11</xdr:col>
      <xdr:colOff>0</xdr:colOff>
      <xdr:row>29</xdr:row>
      <xdr:rowOff>0</xdr:rowOff>
    </xdr:from>
    <xdr:to>
      <xdr:col>22</xdr:col>
      <xdr:colOff>446400</xdr:colOff>
      <xdr:row>51</xdr:row>
      <xdr:rowOff>124200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47</xdr:row>
      <xdr:rowOff>0</xdr:rowOff>
    </xdr:from>
    <xdr:to>
      <xdr:col>7</xdr:col>
      <xdr:colOff>446400</xdr:colOff>
      <xdr:row>69</xdr:row>
      <xdr:rowOff>124200</xdr:rowOff>
    </xdr:to>
    <xdr:graphicFrame macro="">
      <xdr:nvGraphicFramePr>
        <xdr:cNvPr id="7" name="Chart 5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47</xdr:row>
      <xdr:rowOff>0</xdr:rowOff>
    </xdr:from>
    <xdr:to>
      <xdr:col>22</xdr:col>
      <xdr:colOff>446400</xdr:colOff>
      <xdr:row>69</xdr:row>
      <xdr:rowOff>124200</xdr:rowOff>
    </xdr:to>
    <xdr:graphicFrame macro="">
      <xdr:nvGraphicFramePr>
        <xdr:cNvPr id="8" name="Chart 6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B1:H142"/>
  <sheetViews>
    <sheetView showGridLines="0" zoomScaleNormal="100" workbookViewId="0">
      <pane ySplit="7" topLeftCell="A55" activePane="bottomLeft" state="frozen"/>
      <selection pane="bottomLeft" activeCell="N11" sqref="N11"/>
    </sheetView>
  </sheetViews>
  <sheetFormatPr defaultColWidth="8.6328125" defaultRowHeight="14.5" x14ac:dyDescent="0.35"/>
  <cols>
    <col min="1" max="1" width="0.7265625" customWidth="1"/>
    <col min="2" max="3" width="14" customWidth="1"/>
    <col min="4" max="4" width="26" customWidth="1"/>
    <col min="5" max="5" width="39.453125" customWidth="1"/>
    <col min="6" max="6" width="12" customWidth="1"/>
    <col min="7" max="7" width="13" customWidth="1"/>
    <col min="8" max="8" width="9" customWidth="1"/>
    <col min="9" max="9" width="1.6328125" customWidth="1"/>
  </cols>
  <sheetData>
    <row r="1" spans="2:8" ht="4.5" customHeight="1" x14ac:dyDescent="0.35"/>
    <row r="2" spans="2:8" ht="14.25" customHeight="1" x14ac:dyDescent="0.35">
      <c r="B2" s="199"/>
      <c r="C2" s="200" t="s">
        <v>0</v>
      </c>
      <c r="D2" s="200"/>
      <c r="E2" s="200"/>
      <c r="F2" s="200"/>
      <c r="G2" s="199"/>
      <c r="H2" s="199"/>
    </row>
    <row r="3" spans="2:8" ht="14.25" customHeight="1" x14ac:dyDescent="0.35">
      <c r="B3" s="199"/>
      <c r="C3" s="200"/>
      <c r="D3" s="200"/>
      <c r="E3" s="200"/>
      <c r="F3" s="200"/>
      <c r="G3" s="199"/>
      <c r="H3" s="199"/>
    </row>
    <row r="4" spans="2:8" ht="14.25" customHeight="1" x14ac:dyDescent="0.35">
      <c r="B4" s="199"/>
      <c r="C4" s="200"/>
      <c r="D4" s="200"/>
      <c r="E4" s="200"/>
      <c r="F4" s="200"/>
      <c r="G4" s="199"/>
      <c r="H4" s="199"/>
    </row>
    <row r="5" spans="2:8" ht="14.25" customHeight="1" x14ac:dyDescent="0.35">
      <c r="B5" s="199"/>
      <c r="C5" s="201">
        <f ca="1">NOW()</f>
        <v>46196.468674999996</v>
      </c>
      <c r="D5" s="201"/>
      <c r="E5" s="201"/>
      <c r="F5" s="201"/>
      <c r="G5" s="199"/>
      <c r="H5" s="199"/>
    </row>
    <row r="6" spans="2:8" ht="36" customHeight="1" x14ac:dyDescent="0.35">
      <c r="B6" s="202" t="s">
        <v>1</v>
      </c>
      <c r="C6" s="202"/>
      <c r="D6" s="202"/>
      <c r="E6" s="202"/>
      <c r="F6" s="202"/>
      <c r="G6" s="202"/>
      <c r="H6" s="202"/>
    </row>
    <row r="7" spans="2:8" ht="31.5" customHeight="1" x14ac:dyDescent="0.35">
      <c r="B7" s="2" t="s">
        <v>2</v>
      </c>
      <c r="C7" s="2" t="s">
        <v>3</v>
      </c>
      <c r="D7" s="2" t="s">
        <v>4</v>
      </c>
      <c r="E7" s="2"/>
      <c r="F7" s="2" t="s">
        <v>5</v>
      </c>
      <c r="G7" s="2" t="s">
        <v>6</v>
      </c>
      <c r="H7" s="2" t="s">
        <v>7</v>
      </c>
    </row>
    <row r="8" spans="2:8" ht="15.75" customHeight="1" x14ac:dyDescent="0.35">
      <c r="B8" s="3">
        <f>'📋 ORDERS'!E4</f>
        <v>4300034814</v>
      </c>
      <c r="C8" s="3">
        <f>'📋 ORDERS'!F4</f>
        <v>15643491</v>
      </c>
      <c r="D8" s="3" t="str">
        <f>'📋 ORDERS'!G4</f>
        <v>HA 3128</v>
      </c>
      <c r="E8" s="3" t="str">
        <f>'📋 ORDERS'!H4</f>
        <v>BRG BUSHING ADAPTER 125.41MM HA 3128 SKF</v>
      </c>
      <c r="F8" s="4">
        <f>'📋 ORDERS'!I4</f>
        <v>46057</v>
      </c>
      <c r="G8" s="4">
        <v>46181</v>
      </c>
      <c r="H8" s="5">
        <f>'📋 ORDERS'!L4</f>
        <v>4</v>
      </c>
    </row>
    <row r="9" spans="2:8" ht="15.75" customHeight="1" x14ac:dyDescent="0.35">
      <c r="B9" s="6">
        <f>'📋 ORDERS'!E5</f>
        <v>4300034814</v>
      </c>
      <c r="C9" s="6">
        <f>'📋 ORDERS'!F5</f>
        <v>13040369</v>
      </c>
      <c r="D9" s="6" t="str">
        <f>'📋 ORDERS'!G5</f>
        <v>COP.ATL160M</v>
      </c>
      <c r="E9" s="6" t="str">
        <f>'📋 ORDERS'!H5</f>
        <v>LABYRINTH SEAL 160MMATL TIMKEN</v>
      </c>
      <c r="F9" s="7">
        <f>'📋 ORDERS'!I5</f>
        <v>46057</v>
      </c>
      <c r="G9" s="7">
        <v>46181</v>
      </c>
      <c r="H9" s="8">
        <f>'📋 ORDERS'!L5</f>
        <v>2</v>
      </c>
    </row>
    <row r="10" spans="2:8" ht="15.75" customHeight="1" x14ac:dyDescent="0.35">
      <c r="B10" s="3">
        <f>'📋 ORDERS'!E6</f>
        <v>4300034814</v>
      </c>
      <c r="C10" s="3">
        <f>'📋 ORDERS'!F6</f>
        <v>15153568</v>
      </c>
      <c r="D10" s="3" t="str">
        <f>'📋 ORDERS'!G6</f>
        <v>COP.01EB180MGR</v>
      </c>
      <c r="E10" s="3" t="str">
        <f>'📋 ORDERS'!H6</f>
        <v>BALL BRNG 01 B 180MM GR COOPER</v>
      </c>
      <c r="F10" s="4">
        <f>'📋 ORDERS'!I6</f>
        <v>46057</v>
      </c>
      <c r="G10" s="4">
        <v>46181</v>
      </c>
      <c r="H10" s="5">
        <f>'📋 ORDERS'!L6</f>
        <v>2</v>
      </c>
    </row>
    <row r="11" spans="2:8" ht="15.75" customHeight="1" x14ac:dyDescent="0.35">
      <c r="B11" s="6">
        <f>'📋 ORDERS'!E7</f>
        <v>0</v>
      </c>
      <c r="C11" s="6">
        <f>'📋 ORDERS'!F7</f>
        <v>15002466</v>
      </c>
      <c r="D11" s="6" t="str">
        <f>'📋 ORDERS'!G7</f>
        <v>6322/C3VL0241</v>
      </c>
      <c r="E11" s="6" t="str">
        <f>'📋 ORDERS'!H7</f>
        <v>DEEP GROOVE BALL BEARING - INSOCOAT 6322</v>
      </c>
      <c r="F11" s="7">
        <f>'📋 ORDERS'!I7</f>
        <v>46056</v>
      </c>
      <c r="G11" s="7">
        <v>46181</v>
      </c>
      <c r="H11" s="8">
        <f>'📋 ORDERS'!L7</f>
        <v>2</v>
      </c>
    </row>
    <row r="12" spans="2:8" ht="15.75" customHeight="1" x14ac:dyDescent="0.35">
      <c r="B12" s="3">
        <f>'📋 ORDERS'!E8</f>
        <v>4300033496</v>
      </c>
      <c r="C12" s="3">
        <f>'📋 ORDERS'!F8</f>
        <v>15501296</v>
      </c>
      <c r="D12" s="3" t="str">
        <f>'📋 ORDERS'!G8</f>
        <v>COP.01EB125MGR</v>
      </c>
      <c r="E12" s="3" t="str">
        <f>'📋 ORDERS'!H8</f>
        <v>CYL ROLL BRG 01 B 125M GR COOPER</v>
      </c>
      <c r="F12" s="4">
        <f>'📋 ORDERS'!I8</f>
        <v>46014</v>
      </c>
      <c r="G12" s="4" t="s">
        <v>8</v>
      </c>
      <c r="H12" s="5">
        <f>'📋 ORDERS'!L8</f>
        <v>1</v>
      </c>
    </row>
    <row r="13" spans="2:8" ht="15.75" customHeight="1" x14ac:dyDescent="0.35">
      <c r="B13" s="6">
        <f>'📋 ORDERS'!E9</f>
        <v>4300033496</v>
      </c>
      <c r="C13" s="6">
        <f>'📋 ORDERS'!F9</f>
        <v>13188279</v>
      </c>
      <c r="D13" s="6" t="str">
        <f>'📋 ORDERS'!G9</f>
        <v>COP.01EB180MGR</v>
      </c>
      <c r="E13" s="6" t="str">
        <f>'📋 ORDERS'!H9</f>
        <v>CL RL BRG 01 B 180M GR COOPER BEARINGS</v>
      </c>
      <c r="F13" s="7">
        <f>'📋 ORDERS'!I9</f>
        <v>46014</v>
      </c>
      <c r="G13" s="7" t="s">
        <v>8</v>
      </c>
      <c r="H13" s="8">
        <f>'📋 ORDERS'!L9</f>
        <v>3</v>
      </c>
    </row>
    <row r="14" spans="2:8" ht="15.75" customHeight="1" x14ac:dyDescent="0.35">
      <c r="B14" s="3">
        <f>'📋 ORDERS'!E10</f>
        <v>0</v>
      </c>
      <c r="C14" s="3">
        <f>'📋 ORDERS'!F10</f>
        <v>13188470</v>
      </c>
      <c r="D14" s="3" t="str">
        <f>'📋 ORDERS'!G10</f>
        <v>COP.01EB140MGR</v>
      </c>
      <c r="E14" s="3" t="str">
        <f>'📋 ORDERS'!H10</f>
        <v>CL RL BRG 01 B 140M GR COOPER BEARINGS</v>
      </c>
      <c r="F14" s="4">
        <f>'📋 ORDERS'!I10</f>
        <v>46161</v>
      </c>
      <c r="G14" s="4">
        <v>46268</v>
      </c>
      <c r="H14" s="5">
        <f>'📋 ORDERS'!L10</f>
        <v>1</v>
      </c>
    </row>
    <row r="15" spans="2:8" ht="15.75" customHeight="1" x14ac:dyDescent="0.35">
      <c r="B15" s="6">
        <f>'📋 ORDERS'!E11</f>
        <v>0</v>
      </c>
      <c r="C15" s="6">
        <f>'📋 ORDERS'!F11</f>
        <v>13040555</v>
      </c>
      <c r="D15" s="6" t="str">
        <f>'📋 ORDERS'!G11</f>
        <v>COP.02EB180MGR</v>
      </c>
      <c r="E15" s="6" t="str">
        <f>'📋 ORDERS'!H11</f>
        <v>CL RL BRG 02 B 180M GR COOPER BEARINGS</v>
      </c>
      <c r="F15" s="7">
        <f>'📋 ORDERS'!I11</f>
        <v>46161</v>
      </c>
      <c r="G15" s="7">
        <v>46268</v>
      </c>
      <c r="H15" s="8">
        <f>'📋 ORDERS'!L11</f>
        <v>5</v>
      </c>
    </row>
    <row r="16" spans="2:8" ht="15.75" customHeight="1" x14ac:dyDescent="0.35">
      <c r="B16" s="3">
        <f>'📋 ORDERS'!E12</f>
        <v>0</v>
      </c>
      <c r="C16" s="3">
        <f>'📋 ORDERS'!F12</f>
        <v>13040555</v>
      </c>
      <c r="D16" s="3" t="str">
        <f>'📋 ORDERS'!G12</f>
        <v>COP.02EB180MGR</v>
      </c>
      <c r="E16" s="3" t="str">
        <f>'📋 ORDERS'!H12</f>
        <v>CL RL BRG 02 B 180M GR COOPER BEARINGS</v>
      </c>
      <c r="F16" s="4">
        <f>'📋 ORDERS'!I12</f>
        <v>46161</v>
      </c>
      <c r="G16" s="4">
        <v>46268</v>
      </c>
      <c r="H16" s="5">
        <f>'📋 ORDERS'!L12</f>
        <v>2</v>
      </c>
    </row>
    <row r="17" spans="2:8" ht="15.75" customHeight="1" x14ac:dyDescent="0.35">
      <c r="B17" s="6">
        <f>'📋 ORDERS'!E13</f>
        <v>0</v>
      </c>
      <c r="C17" s="6">
        <f>'📋 ORDERS'!F13</f>
        <v>13188470</v>
      </c>
      <c r="D17" s="6" t="str">
        <f>'📋 ORDERS'!G13</f>
        <v>COP.01EB140MGR</v>
      </c>
      <c r="E17" s="6" t="str">
        <f>'📋 ORDERS'!H13</f>
        <v>CL RL BRG 01 B 140M GR COOPER BEARINGS</v>
      </c>
      <c r="F17" s="7">
        <f>'📋 ORDERS'!I13</f>
        <v>46161</v>
      </c>
      <c r="G17" s="7">
        <v>46268</v>
      </c>
      <c r="H17" s="8">
        <f>'📋 ORDERS'!L13</f>
        <v>1</v>
      </c>
    </row>
    <row r="18" spans="2:8" ht="15.75" customHeight="1" x14ac:dyDescent="0.35">
      <c r="B18" s="3">
        <f>'📋 ORDERS'!E14</f>
        <v>4300037223</v>
      </c>
      <c r="C18" s="3">
        <f>'📋 ORDERS'!F14</f>
        <v>15134397</v>
      </c>
      <c r="D18" s="3" t="str">
        <f>'📋 ORDERS'!G14</f>
        <v>SRV.NU 407</v>
      </c>
      <c r="E18" s="3" t="str">
        <f>'📋 ORDERS'!H14</f>
        <v>CYL ROL BEARING</v>
      </c>
      <c r="F18" s="4">
        <f>'📋 ORDERS'!I14</f>
        <v>46154</v>
      </c>
      <c r="G18" s="4">
        <v>46254</v>
      </c>
      <c r="H18" s="5">
        <f>'📋 ORDERS'!L14</f>
        <v>3</v>
      </c>
    </row>
    <row r="19" spans="2:8" ht="15.75" customHeight="1" x14ac:dyDescent="0.35">
      <c r="B19" s="6">
        <f>'📋 ORDERS'!E15</f>
        <v>4300037815</v>
      </c>
      <c r="C19" s="6">
        <f>'📋 ORDERS'!F15</f>
        <v>13040555</v>
      </c>
      <c r="D19" s="6" t="str">
        <f>'📋 ORDERS'!G15</f>
        <v>COP.02EB180MGR</v>
      </c>
      <c r="E19" s="6" t="str">
        <f>'📋 ORDERS'!H15</f>
        <v>CYL ROLL BRG MSM180BR TIMKEN</v>
      </c>
      <c r="F19" s="7">
        <f>'📋 ORDERS'!I15</f>
        <v>46154</v>
      </c>
      <c r="G19" s="7">
        <v>46261</v>
      </c>
      <c r="H19" s="8">
        <f>'📋 ORDERS'!L15</f>
        <v>2</v>
      </c>
    </row>
    <row r="20" spans="2:8" ht="15.75" customHeight="1" x14ac:dyDescent="0.35">
      <c r="B20" s="3">
        <f>'📋 ORDERS'!E16</f>
        <v>4300037815</v>
      </c>
      <c r="C20" s="3">
        <f>'📋 ORDERS'!F16</f>
        <v>13040485</v>
      </c>
      <c r="D20" s="3" t="str">
        <f>'📋 ORDERS'!G16</f>
        <v>COP.02EB220MGR</v>
      </c>
      <c r="E20" s="3" t="str">
        <f>'📋 ORDERS'!H16</f>
        <v>CYL ROLL BRG MSM220BR TIMKEN</v>
      </c>
      <c r="F20" s="4">
        <f>'📋 ORDERS'!I16</f>
        <v>46154</v>
      </c>
      <c r="G20" s="4">
        <v>46261</v>
      </c>
      <c r="H20" s="5">
        <f>'📋 ORDERS'!L16</f>
        <v>1</v>
      </c>
    </row>
    <row r="21" spans="2:8" ht="15.75" customHeight="1" x14ac:dyDescent="0.35">
      <c r="B21" s="6">
        <f>'📋 ORDERS'!E17</f>
        <v>4300037815</v>
      </c>
      <c r="C21" s="6">
        <f>'📋 ORDERS'!F17</f>
        <v>13040555</v>
      </c>
      <c r="D21" s="6" t="str">
        <f>'📋 ORDERS'!G17</f>
        <v>COP.02EB180MGR</v>
      </c>
      <c r="E21" s="6" t="str">
        <f>'📋 ORDERS'!H17</f>
        <v>CYL ROLL BRG MSM180BR TIMKEN</v>
      </c>
      <c r="F21" s="7">
        <f>'📋 ORDERS'!I17</f>
        <v>46154</v>
      </c>
      <c r="G21" s="7">
        <v>46261</v>
      </c>
      <c r="H21" s="8">
        <f>'📋 ORDERS'!L17</f>
        <v>7</v>
      </c>
    </row>
    <row r="22" spans="2:8" ht="15.75" customHeight="1" x14ac:dyDescent="0.35">
      <c r="B22" s="3">
        <f>'📋 ORDERS'!E18</f>
        <v>4300037815</v>
      </c>
      <c r="C22" s="3">
        <f>'📋 ORDERS'!F18</f>
        <v>15509234</v>
      </c>
      <c r="D22" s="3" t="str">
        <f>'📋 ORDERS'!G18</f>
        <v>70X110X10 HMSA10 RG</v>
      </c>
      <c r="E22" s="3" t="str">
        <f>'📋 ORDERS'!H18</f>
        <v>LIP SEAL FKM 70MM 110MM</v>
      </c>
      <c r="F22" s="4">
        <f>'📋 ORDERS'!I18</f>
        <v>46154</v>
      </c>
      <c r="G22" s="4">
        <v>46268</v>
      </c>
      <c r="H22" s="5">
        <f>'📋 ORDERS'!L18</f>
        <v>12</v>
      </c>
    </row>
    <row r="23" spans="2:8" ht="15.75" customHeight="1" x14ac:dyDescent="0.35">
      <c r="B23" s="6">
        <f>'📋 ORDERS'!E19</f>
        <v>4300034374</v>
      </c>
      <c r="C23" s="6">
        <f>'📋 ORDERS'!F19</f>
        <v>15744967</v>
      </c>
      <c r="D23" s="6" t="str">
        <f>'📋 ORDERS'!G19</f>
        <v>24152 CC/W33</v>
      </c>
      <c r="E23" s="6" t="str">
        <f>'📋 ORDERS'!H19</f>
        <v>BEARING 24152 CC/W33 SKF</v>
      </c>
      <c r="F23" s="7">
        <f>'📋 ORDERS'!I19</f>
        <v>46113</v>
      </c>
      <c r="G23" s="7">
        <v>46275</v>
      </c>
      <c r="H23" s="8">
        <f>'📋 ORDERS'!L19</f>
        <v>5</v>
      </c>
    </row>
    <row r="24" spans="2:8" ht="15.75" customHeight="1" x14ac:dyDescent="0.35">
      <c r="B24" s="3">
        <f>'📋 ORDERS'!E20</f>
        <v>4300034374</v>
      </c>
      <c r="C24" s="3">
        <f>'📋 ORDERS'!F20</f>
        <v>15744967</v>
      </c>
      <c r="D24" s="3" t="str">
        <f>'📋 ORDERS'!G20</f>
        <v>24152 CC/W33</v>
      </c>
      <c r="E24" s="3" t="str">
        <f>'📋 ORDERS'!H20</f>
        <v>BEARING 24152 CC/W33 SKF</v>
      </c>
      <c r="F24" s="4">
        <f>'📋 ORDERS'!I20</f>
        <v>46113</v>
      </c>
      <c r="G24" s="4">
        <v>46275</v>
      </c>
      <c r="H24" s="5">
        <f>'📋 ORDERS'!L20</f>
        <v>4</v>
      </c>
    </row>
    <row r="25" spans="2:8" ht="15.75" customHeight="1" x14ac:dyDescent="0.35">
      <c r="B25" s="6">
        <f>'📋 ORDERS'!E21</f>
        <v>4300034374</v>
      </c>
      <c r="C25" s="6">
        <f>'📋 ORDERS'!F21</f>
        <v>15744967</v>
      </c>
      <c r="D25" s="6" t="str">
        <f>'📋 ORDERS'!G21</f>
        <v>24152 CC/W33</v>
      </c>
      <c r="E25" s="6" t="str">
        <f>'📋 ORDERS'!H21</f>
        <v>BEARING 24152 CC/W33 SKF</v>
      </c>
      <c r="F25" s="7">
        <f>'📋 ORDERS'!I21</f>
        <v>46113</v>
      </c>
      <c r="G25" s="7">
        <v>46275</v>
      </c>
      <c r="H25" s="8">
        <f>'📋 ORDERS'!L21</f>
        <v>3</v>
      </c>
    </row>
    <row r="26" spans="2:8" ht="15.75" customHeight="1" x14ac:dyDescent="0.35">
      <c r="B26" s="3">
        <f>'📋 ORDERS'!E22</f>
        <v>4300034374</v>
      </c>
      <c r="C26" s="3">
        <f>'📋 ORDERS'!F22</f>
        <v>15744967</v>
      </c>
      <c r="D26" s="3" t="str">
        <f>'📋 ORDERS'!G22</f>
        <v>24152 CC/W33</v>
      </c>
      <c r="E26" s="3" t="str">
        <f>'📋 ORDERS'!H22</f>
        <v>BEARING 24152 CC/W33 SKF</v>
      </c>
      <c r="F26" s="4">
        <f>'📋 ORDERS'!I22</f>
        <v>46113</v>
      </c>
      <c r="G26" s="4">
        <v>46275</v>
      </c>
      <c r="H26" s="5">
        <f>'📋 ORDERS'!L22</f>
        <v>2</v>
      </c>
    </row>
    <row r="27" spans="2:8" ht="15.75" customHeight="1" x14ac:dyDescent="0.35">
      <c r="B27" s="6">
        <f>'📋 ORDERS'!E23</f>
        <v>4300036757</v>
      </c>
      <c r="C27" s="6">
        <f>'📋 ORDERS'!F23</f>
        <v>15475312</v>
      </c>
      <c r="D27" s="6" t="str">
        <f>'📋 ORDERS'!G23</f>
        <v>CMPT 2310TX20</v>
      </c>
      <c r="E27" s="6" t="str">
        <f>'📋 ORDERS'!H23</f>
        <v>SENSOR INTEGRATED CABLE; CMPT 2310TX20</v>
      </c>
      <c r="F27" s="7">
        <f>'📋 ORDERS'!I23</f>
        <v>46113</v>
      </c>
      <c r="G27" s="7">
        <v>46211</v>
      </c>
      <c r="H27" s="8">
        <f>'📋 ORDERS'!L23</f>
        <v>7</v>
      </c>
    </row>
    <row r="28" spans="2:8" ht="15.75" customHeight="1" x14ac:dyDescent="0.35">
      <c r="B28" s="3">
        <f>'📋 ORDERS'!E24</f>
        <v>4300036757</v>
      </c>
      <c r="C28" s="3">
        <f>'📋 ORDERS'!F24</f>
        <v>15475312</v>
      </c>
      <c r="D28" s="3" t="str">
        <f>'📋 ORDERS'!G24</f>
        <v>CMPT 2310TX20</v>
      </c>
      <c r="E28" s="3" t="str">
        <f>'📋 ORDERS'!H24</f>
        <v>SENSOR INTEGRATED CABLE; CMPT 2310TX20</v>
      </c>
      <c r="F28" s="4">
        <f>'📋 ORDERS'!I24</f>
        <v>46113</v>
      </c>
      <c r="G28" s="4">
        <v>46211</v>
      </c>
      <c r="H28" s="5">
        <f>'📋 ORDERS'!L24</f>
        <v>13</v>
      </c>
    </row>
    <row r="29" spans="2:8" ht="15.75" customHeight="1" x14ac:dyDescent="0.35">
      <c r="B29" s="6">
        <f>'📋 ORDERS'!E25</f>
        <v>4300036353</v>
      </c>
      <c r="C29" s="6">
        <f>'📋 ORDERS'!F25</f>
        <v>13117942</v>
      </c>
      <c r="D29" s="6" t="str">
        <f>'📋 ORDERS'!G25</f>
        <v>PHF TB4545X65MM</v>
      </c>
      <c r="E29" s="6" t="str">
        <f>'📋 ORDERS'!H25</f>
        <v>LCKG BUSH 65MM</v>
      </c>
      <c r="F29" s="7">
        <f>'📋 ORDERS'!I25</f>
        <v>46100</v>
      </c>
      <c r="G29" s="7">
        <v>46352</v>
      </c>
      <c r="H29" s="8">
        <f>'📋 ORDERS'!L25</f>
        <v>4</v>
      </c>
    </row>
    <row r="30" spans="2:8" ht="15.75" customHeight="1" x14ac:dyDescent="0.35">
      <c r="B30" s="3">
        <f>'📋 ORDERS'!E26</f>
        <v>4300038759</v>
      </c>
      <c r="C30" s="3">
        <f>'📋 ORDERS'!F26</f>
        <v>15647107</v>
      </c>
      <c r="D30" s="3" t="str">
        <f>'📋 ORDERS'!G26</f>
        <v>ASNH 526</v>
      </c>
      <c r="E30" s="3" t="str">
        <f>'📋 ORDERS'!H26</f>
        <v>SIDE COVER ASNH 526 SKF</v>
      </c>
      <c r="F30" s="4">
        <f>'📋 ORDERS'!I26</f>
        <v>46169</v>
      </c>
      <c r="G30" s="4">
        <v>46190</v>
      </c>
      <c r="H30" s="5">
        <f>'📋 ORDERS'!L26</f>
        <v>2</v>
      </c>
    </row>
    <row r="31" spans="2:8" ht="15.75" customHeight="1" x14ac:dyDescent="0.35">
      <c r="B31" s="6">
        <f>'📋 ORDERS'!E27</f>
        <v>4300038759</v>
      </c>
      <c r="C31" s="6">
        <f>'📋 ORDERS'!F27</f>
        <v>15647107</v>
      </c>
      <c r="D31" s="6" t="str">
        <f>'📋 ORDERS'!G27</f>
        <v>ASNH 526</v>
      </c>
      <c r="E31" s="6" t="str">
        <f>'📋 ORDERS'!H27</f>
        <v>SIDE COVER ASNH 526 SKF</v>
      </c>
      <c r="F31" s="7">
        <f>'📋 ORDERS'!I27</f>
        <v>46169</v>
      </c>
      <c r="G31" s="7">
        <v>46190</v>
      </c>
      <c r="H31" s="8">
        <f>'📋 ORDERS'!L27</f>
        <v>2</v>
      </c>
    </row>
    <row r="32" spans="2:8" ht="15.75" customHeight="1" x14ac:dyDescent="0.35">
      <c r="B32" s="3">
        <f>'📋 ORDERS'!E28</f>
        <v>4300038759</v>
      </c>
      <c r="C32" s="3">
        <f>'📋 ORDERS'!F28</f>
        <v>15056552</v>
      </c>
      <c r="D32" s="3" t="str">
        <f>'📋 ORDERS'!G28</f>
        <v>OH 3152 H</v>
      </c>
      <c r="E32" s="3" t="str">
        <f>'📋 ORDERS'!H28</f>
        <v>ADAPTER SLEEVE;OH 3152 H;SKF</v>
      </c>
      <c r="F32" s="4">
        <f>'📋 ORDERS'!I28</f>
        <v>46169</v>
      </c>
      <c r="G32" s="4">
        <v>46190</v>
      </c>
      <c r="H32" s="5">
        <f>'📋 ORDERS'!L28</f>
        <v>1</v>
      </c>
    </row>
    <row r="33" spans="2:8" ht="15.75" customHeight="1" x14ac:dyDescent="0.35">
      <c r="B33" s="6">
        <f>'📋 ORDERS'!E29</f>
        <v>4300038759</v>
      </c>
      <c r="C33" s="6">
        <f>'📋 ORDERS'!F29</f>
        <v>15388676</v>
      </c>
      <c r="D33" s="6" t="str">
        <f>'📋 ORDERS'!G29</f>
        <v>22316 E/C3</v>
      </c>
      <c r="E33" s="6" t="str">
        <f>'📋 ORDERS'!H29</f>
        <v>BEARING 22316 E C3 SKF</v>
      </c>
      <c r="F33" s="7">
        <f>'📋 ORDERS'!I29</f>
        <v>46169</v>
      </c>
      <c r="G33" s="7">
        <v>46190</v>
      </c>
      <c r="H33" s="8">
        <f>'📋 ORDERS'!L29</f>
        <v>1</v>
      </c>
    </row>
    <row r="34" spans="2:8" ht="15.75" customHeight="1" x14ac:dyDescent="0.35">
      <c r="B34" s="3">
        <f>'📋 ORDERS'!E30</f>
        <v>4300038759</v>
      </c>
      <c r="C34" s="3">
        <f>'📋 ORDERS'!F30</f>
        <v>15062473</v>
      </c>
      <c r="D34" s="3" t="str">
        <f>'📋 ORDERS'!G30</f>
        <v>H 318</v>
      </c>
      <c r="E34" s="3" t="str">
        <f>'📋 ORDERS'!H30</f>
        <v>ADAPTER SLEEVE H 318 SKF</v>
      </c>
      <c r="F34" s="4">
        <f>'📋 ORDERS'!I30</f>
        <v>46169</v>
      </c>
      <c r="G34" s="4">
        <v>46190</v>
      </c>
      <c r="H34" s="5">
        <f>'📋 ORDERS'!L30</f>
        <v>3</v>
      </c>
    </row>
    <row r="35" spans="2:8" ht="15.75" customHeight="1" x14ac:dyDescent="0.35">
      <c r="B35" s="6">
        <f>'📋 ORDERS'!E31</f>
        <v>4300038759</v>
      </c>
      <c r="C35" s="6">
        <f>'📋 ORDERS'!F31</f>
        <v>15647107</v>
      </c>
      <c r="D35" s="6" t="str">
        <f>'📋 ORDERS'!G31</f>
        <v>ASNH 526</v>
      </c>
      <c r="E35" s="6" t="str">
        <f>'📋 ORDERS'!H31</f>
        <v>SIDE COVER ASNH 526 SKF</v>
      </c>
      <c r="F35" s="7">
        <f>'📋 ORDERS'!I31</f>
        <v>46169</v>
      </c>
      <c r="G35" s="7">
        <v>46190</v>
      </c>
      <c r="H35" s="8">
        <f>'📋 ORDERS'!L31</f>
        <v>1</v>
      </c>
    </row>
    <row r="36" spans="2:8" ht="15.75" customHeight="1" x14ac:dyDescent="0.35">
      <c r="B36" s="3">
        <f>'📋 ORDERS'!E32</f>
        <v>4300035325</v>
      </c>
      <c r="C36" s="3">
        <f>'📋 ORDERS'!F32</f>
        <v>15149626</v>
      </c>
      <c r="D36" s="3" t="str">
        <f>'📋 ORDERS'!G32</f>
        <v>TU 50 TF</v>
      </c>
      <c r="E36" s="3" t="str">
        <f>'📋 ORDERS'!H32</f>
        <v>BEARING UNIT NON-LOC PASS SPLIT PED</v>
      </c>
      <c r="F36" s="4">
        <f>'📋 ORDERS'!I32</f>
        <v>46066</v>
      </c>
      <c r="G36" s="4">
        <v>46149</v>
      </c>
      <c r="H36" s="5">
        <f>'📋 ORDERS'!L32</f>
        <v>30</v>
      </c>
    </row>
    <row r="37" spans="2:8" ht="15.75" customHeight="1" x14ac:dyDescent="0.35">
      <c r="B37" s="6">
        <f>'📋 ORDERS'!E33</f>
        <v>4300035325</v>
      </c>
      <c r="C37" s="6">
        <f>'📋 ORDERS'!F33</f>
        <v>15055683</v>
      </c>
      <c r="D37" s="6" t="str">
        <f>'📋 ORDERS'!G33</f>
        <v>22240 CC/W33</v>
      </c>
      <c r="E37" s="6" t="str">
        <f>'📋 ORDERS'!H33</f>
        <v>BEARING 22240 CC/W33 SKF</v>
      </c>
      <c r="F37" s="7">
        <f>'📋 ORDERS'!I33</f>
        <v>46066</v>
      </c>
      <c r="G37" s="7">
        <v>46181</v>
      </c>
      <c r="H37" s="8">
        <f>'📋 ORDERS'!L33</f>
        <v>1</v>
      </c>
    </row>
    <row r="38" spans="2:8" ht="15.75" customHeight="1" x14ac:dyDescent="0.35">
      <c r="B38" s="3">
        <f>'📋 ORDERS'!E34</f>
        <v>4300035325</v>
      </c>
      <c r="C38" s="3">
        <f>'📋 ORDERS'!F34</f>
        <v>15375665</v>
      </c>
      <c r="D38" s="3" t="str">
        <f>'📋 ORDERS'!G34</f>
        <v>SNL 518-615</v>
      </c>
      <c r="E38" s="3" t="str">
        <f>'📋 ORDERS'!H34</f>
        <v>PILLOW BLOCK NOD CI 80MM SNL 518-615 SKF</v>
      </c>
      <c r="F38" s="4">
        <f>'📋 ORDERS'!I34</f>
        <v>46066</v>
      </c>
      <c r="G38" s="4">
        <v>46212</v>
      </c>
      <c r="H38" s="5">
        <f>'📋 ORDERS'!L34</f>
        <v>5</v>
      </c>
    </row>
    <row r="39" spans="2:8" ht="15.75" customHeight="1" x14ac:dyDescent="0.35">
      <c r="B39" s="6">
        <f>'📋 ORDERS'!E35</f>
        <v>4300035325</v>
      </c>
      <c r="C39" s="6">
        <f>'📋 ORDERS'!F35</f>
        <v>15351089</v>
      </c>
      <c r="D39" s="6" t="str">
        <f>'📋 ORDERS'!G35</f>
        <v>22218 EK</v>
      </c>
      <c r="E39" s="6" t="str">
        <f>'📋 ORDERS'!H35</f>
        <v>SPHERICAL ROLLER BEARING 22218 EK</v>
      </c>
      <c r="F39" s="7">
        <f>'📋 ORDERS'!I35</f>
        <v>46066</v>
      </c>
      <c r="G39" s="7">
        <v>46212</v>
      </c>
      <c r="H39" s="8">
        <f>'📋 ORDERS'!L35</f>
        <v>5</v>
      </c>
    </row>
    <row r="40" spans="2:8" ht="15.75" customHeight="1" x14ac:dyDescent="0.35">
      <c r="B40" s="3">
        <f>'📋 ORDERS'!E36</f>
        <v>4300035325</v>
      </c>
      <c r="C40" s="3">
        <f>'📋 ORDERS'!F36</f>
        <v>0</v>
      </c>
      <c r="D40" s="3" t="str">
        <f>'📋 ORDERS'!G36</f>
        <v>H 318</v>
      </c>
      <c r="E40" s="3" t="str">
        <f>'📋 ORDERS'!H36</f>
        <v>ADAPTER SLEEVE H 318 SKF</v>
      </c>
      <c r="F40" s="4">
        <f>'📋 ORDERS'!I36</f>
        <v>46066</v>
      </c>
      <c r="G40" s="4">
        <v>46212</v>
      </c>
      <c r="H40" s="5">
        <f>'📋 ORDERS'!L36</f>
        <v>5</v>
      </c>
    </row>
    <row r="41" spans="2:8" ht="15.75" customHeight="1" x14ac:dyDescent="0.35">
      <c r="B41" s="6">
        <f>'📋 ORDERS'!E37</f>
        <v>4300035325</v>
      </c>
      <c r="C41" s="6">
        <f>'📋 ORDERS'!F37</f>
        <v>13061642</v>
      </c>
      <c r="D41" s="6" t="str">
        <f>'📋 ORDERS'!G37</f>
        <v>TXL 518</v>
      </c>
      <c r="E41" s="6" t="str">
        <f>'📋 ORDERS'!H37</f>
        <v>SEAL TSN518 TK SKF</v>
      </c>
      <c r="F41" s="7">
        <f>'📋 ORDERS'!I37</f>
        <v>46066</v>
      </c>
      <c r="G41" s="7">
        <v>46212</v>
      </c>
      <c r="H41" s="8">
        <f>'📋 ORDERS'!L37</f>
        <v>5</v>
      </c>
    </row>
    <row r="42" spans="2:8" ht="15.75" customHeight="1" x14ac:dyDescent="0.35">
      <c r="B42" s="3">
        <f>'📋 ORDERS'!E38</f>
        <v>4300035325</v>
      </c>
      <c r="C42" s="3">
        <f>'📋 ORDERS'!F38</f>
        <v>13065456</v>
      </c>
      <c r="D42" s="3" t="str">
        <f>'📋 ORDERS'!G38</f>
        <v>FRB 12.5/160</v>
      </c>
      <c r="E42" s="3" t="str">
        <f>'📋 ORDERS'!H38</f>
        <v>LOCATING RING FRB 12.5/160</v>
      </c>
      <c r="F42" s="4">
        <f>'📋 ORDERS'!I38</f>
        <v>46066</v>
      </c>
      <c r="G42" s="4">
        <v>46212</v>
      </c>
      <c r="H42" s="5">
        <f>'📋 ORDERS'!L38</f>
        <v>10</v>
      </c>
    </row>
    <row r="43" spans="2:8" ht="15.75" customHeight="1" x14ac:dyDescent="0.35">
      <c r="B43" s="6">
        <f>'📋 ORDERS'!E39</f>
        <v>4300034814</v>
      </c>
      <c r="C43" s="6">
        <f>'📋 ORDERS'!F39</f>
        <v>15375351</v>
      </c>
      <c r="D43" s="6" t="str">
        <f>'📋 ORDERS'!G39</f>
        <v>30230</v>
      </c>
      <c r="E43" s="6" t="str">
        <f>'📋 ORDERS'!H39</f>
        <v>ROLL BEARING 30230 A FAG</v>
      </c>
      <c r="F43" s="7">
        <f>'📋 ORDERS'!I39</f>
        <v>46057</v>
      </c>
      <c r="G43" s="7">
        <v>46181</v>
      </c>
      <c r="H43" s="8">
        <f>'📋 ORDERS'!L39</f>
        <v>4</v>
      </c>
    </row>
    <row r="44" spans="2:8" ht="15.75" customHeight="1" x14ac:dyDescent="0.35">
      <c r="B44" s="3">
        <f>'📋 ORDERS'!E40</f>
        <v>4300035325</v>
      </c>
      <c r="C44" s="3">
        <f>'📋 ORDERS'!F40</f>
        <v>15062560</v>
      </c>
      <c r="D44" s="3" t="str">
        <f>'📋 ORDERS'!G40</f>
        <v>23056 CCK/W33</v>
      </c>
      <c r="E44" s="3" t="str">
        <f>'📋 ORDERS'!H40</f>
        <v>BEARING 23056 CCK/W33 SKF</v>
      </c>
      <c r="F44" s="4">
        <f>'📋 ORDERS'!I40</f>
        <v>46066</v>
      </c>
      <c r="G44" s="4">
        <v>46181</v>
      </c>
      <c r="H44" s="5">
        <f>'📋 ORDERS'!L40</f>
        <v>1</v>
      </c>
    </row>
    <row r="45" spans="2:8" ht="15.75" customHeight="1" x14ac:dyDescent="0.35">
      <c r="B45" s="6">
        <f>'📋 ORDERS'!E41</f>
        <v>4300035325</v>
      </c>
      <c r="C45" s="6">
        <f>'📋 ORDERS'!F41</f>
        <v>15652160</v>
      </c>
      <c r="D45" s="6" t="str">
        <f>'📋 ORDERS'!G41</f>
        <v>FRB 13/230</v>
      </c>
      <c r="E45" s="6" t="str">
        <f>'📋 ORDERS'!H41</f>
        <v>RING FRB 13/230 SKF</v>
      </c>
      <c r="F45" s="7">
        <f>'📋 ORDERS'!I41</f>
        <v>46066</v>
      </c>
      <c r="G45" s="7">
        <v>46181</v>
      </c>
      <c r="H45" s="8">
        <f>'📋 ORDERS'!L41</f>
        <v>5</v>
      </c>
    </row>
    <row r="46" spans="2:8" ht="15.75" customHeight="1" x14ac:dyDescent="0.35">
      <c r="B46" s="3">
        <f>'📋 ORDERS'!E42</f>
        <v>4300035325</v>
      </c>
      <c r="C46" s="3">
        <f>'📋 ORDERS'!F42</f>
        <v>15134397</v>
      </c>
      <c r="D46" s="3" t="str">
        <f>'📋 ORDERS'!G42</f>
        <v>SRV.NU 407</v>
      </c>
      <c r="E46" s="3" t="str">
        <f>'📋 ORDERS'!H42</f>
        <v>CYL ROL BEARING</v>
      </c>
      <c r="F46" s="4">
        <f>'📋 ORDERS'!I42</f>
        <v>46066</v>
      </c>
      <c r="G46" s="4">
        <v>46181</v>
      </c>
      <c r="H46" s="5">
        <f>'📋 ORDERS'!L42</f>
        <v>5</v>
      </c>
    </row>
    <row r="47" spans="2:8" ht="15.75" customHeight="1" x14ac:dyDescent="0.35">
      <c r="B47" s="6">
        <f>'📋 ORDERS'!E43</f>
        <v>4300035325</v>
      </c>
      <c r="C47" s="6">
        <f>'📋 ORDERS'!F43</f>
        <v>15149497</v>
      </c>
      <c r="D47" s="6" t="str">
        <f>'📋 ORDERS'!G43</f>
        <v>32324</v>
      </c>
      <c r="E47" s="6" t="str">
        <f>'📋 ORDERS'!H43</f>
        <v>ROLL BEARING 32324J2 SKF</v>
      </c>
      <c r="F47" s="7">
        <f>'📋 ORDERS'!I43</f>
        <v>46066</v>
      </c>
      <c r="G47" s="7">
        <v>46181</v>
      </c>
      <c r="H47" s="8">
        <f>'📋 ORDERS'!L43</f>
        <v>2</v>
      </c>
    </row>
    <row r="48" spans="2:8" ht="15.75" customHeight="1" x14ac:dyDescent="0.35">
      <c r="B48" s="3">
        <f>'📋 ORDERS'!E44</f>
        <v>4300035325</v>
      </c>
      <c r="C48" s="3">
        <f>'📋 ORDERS'!F44</f>
        <v>15119748</v>
      </c>
      <c r="D48" s="3" t="str">
        <f>'📋 ORDERS'!G44</f>
        <v>23138 CCK/W33</v>
      </c>
      <c r="E48" s="3" t="str">
        <f>'📋 ORDERS'!H44</f>
        <v>BEARING 23138 CC K W33 SKF</v>
      </c>
      <c r="F48" s="4">
        <f>'📋 ORDERS'!I44</f>
        <v>46066</v>
      </c>
      <c r="G48" s="4">
        <v>46181</v>
      </c>
      <c r="H48" s="5">
        <f>'📋 ORDERS'!L44</f>
        <v>1</v>
      </c>
    </row>
    <row r="49" spans="2:8" ht="15.75" customHeight="1" x14ac:dyDescent="0.35">
      <c r="B49" s="6">
        <f>'📋 ORDERS'!E45</f>
        <v>4300035325</v>
      </c>
      <c r="C49" s="6">
        <f>'📋 ORDERS'!F45</f>
        <v>15505463</v>
      </c>
      <c r="D49" s="6" t="str">
        <f>'📋 ORDERS'!G45</f>
        <v>23140 CCK/W33</v>
      </c>
      <c r="E49" s="6" t="str">
        <f>'📋 ORDERS'!H45</f>
        <v>BEARING 23140 CC K W33 SKF</v>
      </c>
      <c r="F49" s="7">
        <f>'📋 ORDERS'!I45</f>
        <v>46066</v>
      </c>
      <c r="G49" s="7">
        <v>46181</v>
      </c>
      <c r="H49" s="8">
        <f>'📋 ORDERS'!L45</f>
        <v>1</v>
      </c>
    </row>
    <row r="50" spans="2:8" ht="15.75" customHeight="1" x14ac:dyDescent="0.35">
      <c r="B50" s="3">
        <f>'📋 ORDERS'!E46</f>
        <v>4300035325</v>
      </c>
      <c r="C50" s="3">
        <f>'📋 ORDERS'!F46</f>
        <v>15055683</v>
      </c>
      <c r="D50" s="3" t="str">
        <f>'📋 ORDERS'!G46</f>
        <v>22240 CC/W33</v>
      </c>
      <c r="E50" s="3" t="str">
        <f>'📋 ORDERS'!H46</f>
        <v>BEARING 22240 CC/W33 SKF</v>
      </c>
      <c r="F50" s="4">
        <f>'📋 ORDERS'!I46</f>
        <v>46066</v>
      </c>
      <c r="G50" s="4">
        <v>46181</v>
      </c>
      <c r="H50" s="5">
        <f>'📋 ORDERS'!L46</f>
        <v>1</v>
      </c>
    </row>
    <row r="51" spans="2:8" ht="15.75" customHeight="1" x14ac:dyDescent="0.35">
      <c r="B51" s="6">
        <f>'📋 ORDERS'!E47</f>
        <v>4300035558</v>
      </c>
      <c r="C51" s="6">
        <f>'📋 ORDERS'!F47</f>
        <v>15348604</v>
      </c>
      <c r="D51" s="6" t="str">
        <f>'📋 ORDERS'!G47</f>
        <v>6319/C3</v>
      </c>
      <c r="E51" s="6" t="str">
        <f>'📋 ORDERS'!H47</f>
        <v>BALL BRNG 6319/C3 SKF</v>
      </c>
      <c r="F51" s="7">
        <f>'📋 ORDERS'!I47</f>
        <v>46077</v>
      </c>
      <c r="G51" s="7">
        <v>46181</v>
      </c>
      <c r="H51" s="8">
        <f>'📋 ORDERS'!L47</f>
        <v>4</v>
      </c>
    </row>
    <row r="52" spans="2:8" ht="15.75" customHeight="1" x14ac:dyDescent="0.35">
      <c r="B52" s="3">
        <f>'📋 ORDERS'!E48</f>
        <v>4300035558</v>
      </c>
      <c r="C52" s="3">
        <f>'📋 ORDERS'!F48</f>
        <v>15383260</v>
      </c>
      <c r="D52" s="3" t="str">
        <f>'📋 ORDERS'!G48</f>
        <v>NU 234 ECML/C3</v>
      </c>
      <c r="E52" s="3" t="str">
        <f>'📋 ORDERS'!H48</f>
        <v>CL RL BRG NU 234 M C3 SKF</v>
      </c>
      <c r="F52" s="4">
        <f>'📋 ORDERS'!I48</f>
        <v>46077</v>
      </c>
      <c r="G52" s="4">
        <v>46181</v>
      </c>
      <c r="H52" s="5">
        <f>'📋 ORDERS'!L48</f>
        <v>4</v>
      </c>
    </row>
    <row r="53" spans="2:8" ht="15.75" customHeight="1" x14ac:dyDescent="0.35">
      <c r="B53" s="6">
        <f>'📋 ORDERS'!E49</f>
        <v>4300035558</v>
      </c>
      <c r="C53" s="6">
        <f>'📋 ORDERS'!F49</f>
        <v>15383260</v>
      </c>
      <c r="D53" s="6" t="str">
        <f>'📋 ORDERS'!G49</f>
        <v>NU 234 ECML/C3</v>
      </c>
      <c r="E53" s="6" t="str">
        <f>'📋 ORDERS'!H49</f>
        <v>CL RL BRG NU 234 M C3 SKF</v>
      </c>
      <c r="F53" s="7">
        <f>'📋 ORDERS'!I49</f>
        <v>46077</v>
      </c>
      <c r="G53" s="7">
        <v>46181</v>
      </c>
      <c r="H53" s="8">
        <f>'📋 ORDERS'!L49</f>
        <v>3</v>
      </c>
    </row>
    <row r="54" spans="2:8" ht="15.75" customHeight="1" x14ac:dyDescent="0.35">
      <c r="B54" s="3">
        <f>'📋 ORDERS'!E50</f>
        <v>4300035558</v>
      </c>
      <c r="C54" s="3">
        <f>'📋 ORDERS'!F50</f>
        <v>15153689</v>
      </c>
      <c r="D54" s="3" t="str">
        <f>'📋 ORDERS'!G50</f>
        <v>COP.01EB150MGR</v>
      </c>
      <c r="E54" s="3" t="str">
        <f>'📋 ORDERS'!H50</f>
        <v>CL RL BRG 01 B 150M GR COPPER BEARINGS</v>
      </c>
      <c r="F54" s="4">
        <f>'📋 ORDERS'!I50</f>
        <v>46077</v>
      </c>
      <c r="G54" s="4">
        <v>46181</v>
      </c>
      <c r="H54" s="5">
        <f>'📋 ORDERS'!L50</f>
        <v>1</v>
      </c>
    </row>
    <row r="55" spans="2:8" ht="15.75" customHeight="1" x14ac:dyDescent="0.35">
      <c r="B55" s="6">
        <f>'📋 ORDERS'!E51</f>
        <v>4300035558</v>
      </c>
      <c r="C55" s="6">
        <f>'📋 ORDERS'!F51</f>
        <v>15174197</v>
      </c>
      <c r="D55" s="6" t="str">
        <f>'📋 ORDERS'!G51</f>
        <v>6316/C3</v>
      </c>
      <c r="E55" s="6" t="str">
        <f>'📋 ORDERS'!H51</f>
        <v>BALL BRNG 6316 C3 SKF</v>
      </c>
      <c r="F55" s="7">
        <f>'📋 ORDERS'!I51</f>
        <v>46077</v>
      </c>
      <c r="G55" s="7">
        <v>46181</v>
      </c>
      <c r="H55" s="8">
        <f>'📋 ORDERS'!L51</f>
        <v>2</v>
      </c>
    </row>
    <row r="56" spans="2:8" ht="15.75" customHeight="1" x14ac:dyDescent="0.35">
      <c r="B56" s="3">
        <f>'📋 ORDERS'!E52</f>
        <v>4300035325</v>
      </c>
      <c r="C56" s="3">
        <f>'📋 ORDERS'!F52</f>
        <v>15392508</v>
      </c>
      <c r="D56" s="3" t="str">
        <f>'📋 ORDERS'!G52</f>
        <v>23232 CCK/W33</v>
      </c>
      <c r="E56" s="3" t="str">
        <f>'📋 ORDERS'!H52</f>
        <v>BEARING 23232 CCK/W33 SKF</v>
      </c>
      <c r="F56" s="4">
        <f>'📋 ORDERS'!I52</f>
        <v>46066</v>
      </c>
      <c r="G56" s="4">
        <v>46181</v>
      </c>
      <c r="H56" s="5">
        <f>'📋 ORDERS'!L52</f>
        <v>1</v>
      </c>
    </row>
    <row r="57" spans="2:8" ht="15.75" customHeight="1" x14ac:dyDescent="0.35">
      <c r="B57" s="6">
        <f>'📋 ORDERS'!E53</f>
        <v>4300035325</v>
      </c>
      <c r="C57" s="6">
        <f>'📋 ORDERS'!F53</f>
        <v>15130069</v>
      </c>
      <c r="D57" s="6" t="str">
        <f>'📋 ORDERS'!G53</f>
        <v>6216/C3</v>
      </c>
      <c r="E57" s="6" t="str">
        <f>'📋 ORDERS'!H53</f>
        <v>BALL BRNG 6216 - C3 SKF</v>
      </c>
      <c r="F57" s="7">
        <f>'📋 ORDERS'!I53</f>
        <v>46066</v>
      </c>
      <c r="G57" s="7">
        <v>46181</v>
      </c>
      <c r="H57" s="8">
        <f>'📋 ORDERS'!L53</f>
        <v>1</v>
      </c>
    </row>
    <row r="58" spans="2:8" ht="15.75" customHeight="1" x14ac:dyDescent="0.35">
      <c r="B58" s="3">
        <f>'📋 ORDERS'!E54</f>
        <v>4300035325</v>
      </c>
      <c r="C58" s="3">
        <f>'📋 ORDERS'!F54</f>
        <v>15003876</v>
      </c>
      <c r="D58" s="3" t="str">
        <f>'📋 ORDERS'!G54</f>
        <v>2217 K</v>
      </c>
      <c r="E58" s="3" t="str">
        <f>'📋 ORDERS'!H54</f>
        <v>BALL BRNG 2217 K SKF</v>
      </c>
      <c r="F58" s="4">
        <f>'📋 ORDERS'!I54</f>
        <v>46066</v>
      </c>
      <c r="G58" s="4">
        <v>46181</v>
      </c>
      <c r="H58" s="5">
        <f>'📋 ORDERS'!L54</f>
        <v>1</v>
      </c>
    </row>
    <row r="59" spans="2:8" ht="15.75" customHeight="1" x14ac:dyDescent="0.35">
      <c r="B59" s="6">
        <f>'📋 ORDERS'!E55</f>
        <v>4300034374</v>
      </c>
      <c r="C59" s="6">
        <f>'📋 ORDERS'!F55</f>
        <v>15156479</v>
      </c>
      <c r="D59" s="6" t="str">
        <f>'📋 ORDERS'!G55</f>
        <v>COP.01EB150MGR</v>
      </c>
      <c r="E59" s="6" t="str">
        <f>'📋 ORDERS'!H55</f>
        <v>CL RL BRG 01 B150M COOPER</v>
      </c>
      <c r="F59" s="7">
        <f>'📋 ORDERS'!I55</f>
        <v>46113</v>
      </c>
      <c r="G59" s="7">
        <v>46212</v>
      </c>
      <c r="H59" s="8">
        <f>'📋 ORDERS'!L55</f>
        <v>6</v>
      </c>
    </row>
    <row r="60" spans="2:8" ht="15.75" customHeight="1" x14ac:dyDescent="0.35">
      <c r="B60" s="3">
        <f>'📋 ORDERS'!E56</f>
        <v>4300034374</v>
      </c>
      <c r="C60" s="3">
        <f>'📋 ORDERS'!F56</f>
        <v>15056773</v>
      </c>
      <c r="D60" s="3" t="str">
        <f>'📋 ORDERS'!G56</f>
        <v>32230</v>
      </c>
      <c r="E60" s="3" t="str">
        <f>'📋 ORDERS'!H56</f>
        <v>BEARING;TAPERED ROLLER;32230JR;KOYO</v>
      </c>
      <c r="F60" s="4">
        <f>'📋 ORDERS'!I56</f>
        <v>46113</v>
      </c>
      <c r="G60" s="4">
        <v>46198</v>
      </c>
      <c r="H60" s="5">
        <f>'📋 ORDERS'!L56</f>
        <v>2</v>
      </c>
    </row>
    <row r="61" spans="2:8" ht="15.75" customHeight="1" x14ac:dyDescent="0.35">
      <c r="B61" s="6">
        <f>'📋 ORDERS'!E57</f>
        <v>4300034374</v>
      </c>
      <c r="C61" s="6">
        <f>'📋 ORDERS'!F57</f>
        <v>15374830</v>
      </c>
      <c r="D61" s="6" t="str">
        <f>'📋 ORDERS'!G57</f>
        <v>NU 2213 ECJ</v>
      </c>
      <c r="E61" s="6" t="str">
        <f>'📋 ORDERS'!H57</f>
        <v>CL RL BRG NU2213E SKF</v>
      </c>
      <c r="F61" s="7">
        <f>'📋 ORDERS'!I57</f>
        <v>46113</v>
      </c>
      <c r="G61" s="7">
        <v>46198</v>
      </c>
      <c r="H61" s="8">
        <f>'📋 ORDERS'!L57</f>
        <v>1</v>
      </c>
    </row>
    <row r="62" spans="2:8" ht="15.75" customHeight="1" x14ac:dyDescent="0.35">
      <c r="B62" s="3">
        <f>'📋 ORDERS'!E58</f>
        <v>4300034374</v>
      </c>
      <c r="C62" s="3">
        <f>'📋 ORDERS'!F58</f>
        <v>13061642</v>
      </c>
      <c r="D62" s="3" t="str">
        <f>'📋 ORDERS'!G58</f>
        <v>TXL 518</v>
      </c>
      <c r="E62" s="3" t="str">
        <f>'📋 ORDERS'!H58</f>
        <v>SEAL TSN518 TK SKF</v>
      </c>
      <c r="F62" s="4">
        <f>'📋 ORDERS'!I58</f>
        <v>46113</v>
      </c>
      <c r="G62" s="4">
        <v>46198</v>
      </c>
      <c r="H62" s="5">
        <f>'📋 ORDERS'!L58</f>
        <v>19</v>
      </c>
    </row>
    <row r="63" spans="2:8" ht="15.75" customHeight="1" x14ac:dyDescent="0.35">
      <c r="B63" s="6">
        <f>'📋 ORDERS'!E59</f>
        <v>4300034374</v>
      </c>
      <c r="C63" s="6">
        <f>'📋 ORDERS'!F59</f>
        <v>13037709</v>
      </c>
      <c r="D63" s="6" t="str">
        <f>'📋 ORDERS'!G59</f>
        <v>FY 1.7/16 TF</v>
      </c>
      <c r="E63" s="6" t="str">
        <f>'📋 ORDERS'!H59</f>
        <v>BEARING UNIT SQUARE FLANGED</v>
      </c>
      <c r="F63" s="7">
        <f>'📋 ORDERS'!I59</f>
        <v>46113</v>
      </c>
      <c r="G63" s="7">
        <v>46198</v>
      </c>
      <c r="H63" s="8">
        <f>'📋 ORDERS'!L59</f>
        <v>1</v>
      </c>
    </row>
    <row r="64" spans="2:8" ht="15.75" customHeight="1" x14ac:dyDescent="0.35">
      <c r="B64" s="3">
        <f>'📋 ORDERS'!E60</f>
        <v>4300036353</v>
      </c>
      <c r="C64" s="3">
        <f>'📋 ORDERS'!F60</f>
        <v>15047773</v>
      </c>
      <c r="D64" s="3" t="str">
        <f>'📋 ORDERS'!G60</f>
        <v>H 3136</v>
      </c>
      <c r="E64" s="3" t="str">
        <f>'📋 ORDERS'!H60</f>
        <v>BRG BUSHING FIXAT 160MM</v>
      </c>
      <c r="F64" s="4">
        <f>'📋 ORDERS'!I60</f>
        <v>46100</v>
      </c>
      <c r="G64" s="4">
        <v>46240</v>
      </c>
      <c r="H64" s="5">
        <f>'📋 ORDERS'!L60</f>
        <v>4</v>
      </c>
    </row>
    <row r="65" spans="2:8" ht="15.75" customHeight="1" x14ac:dyDescent="0.35">
      <c r="B65" s="6">
        <f>'📋 ORDERS'!E61</f>
        <v>0</v>
      </c>
      <c r="C65" s="6">
        <f>'📋 ORDERS'!F61</f>
        <v>16177612</v>
      </c>
      <c r="D65" s="6" t="str">
        <f>'📋 ORDERS'!G61</f>
        <v>TSN 526 S</v>
      </c>
      <c r="E65" s="6" t="str">
        <f>'📋 ORDERS'!H61</f>
        <v>SEAL TSN526S SKF</v>
      </c>
      <c r="F65" s="7">
        <f>'📋 ORDERS'!I61</f>
        <v>46161</v>
      </c>
      <c r="G65" s="7">
        <v>46261</v>
      </c>
      <c r="H65" s="8">
        <f>'📋 ORDERS'!L61</f>
        <v>1</v>
      </c>
    </row>
    <row r="66" spans="2:8" ht="15.75" customHeight="1" x14ac:dyDescent="0.35">
      <c r="B66" s="3">
        <f>'📋 ORDERS'!E62</f>
        <v>0</v>
      </c>
      <c r="C66" s="3">
        <f>'📋 ORDERS'!F62</f>
        <v>16177612</v>
      </c>
      <c r="D66" s="3" t="str">
        <f>'📋 ORDERS'!G62</f>
        <v>TSN 526 S</v>
      </c>
      <c r="E66" s="3" t="str">
        <f>'📋 ORDERS'!H62</f>
        <v>SEAL TSN526S SKF</v>
      </c>
      <c r="F66" s="4">
        <f>'📋 ORDERS'!I62</f>
        <v>46161</v>
      </c>
      <c r="G66" s="4">
        <v>46261</v>
      </c>
      <c r="H66" s="5">
        <f>'📋 ORDERS'!L62</f>
        <v>3</v>
      </c>
    </row>
    <row r="67" spans="2:8" ht="15.75" customHeight="1" x14ac:dyDescent="0.35">
      <c r="B67" s="6">
        <f>'📋 ORDERS'!E63</f>
        <v>0</v>
      </c>
      <c r="C67" s="6">
        <f>'📋 ORDERS'!F63</f>
        <v>16177612</v>
      </c>
      <c r="D67" s="6" t="str">
        <f>'📋 ORDERS'!G63</f>
        <v>TSN 526 S</v>
      </c>
      <c r="E67" s="6" t="str">
        <f>'📋 ORDERS'!H63</f>
        <v>SEAL TSN526S SKF</v>
      </c>
      <c r="F67" s="7">
        <f>'📋 ORDERS'!I63</f>
        <v>46161</v>
      </c>
      <c r="G67" s="7">
        <v>46275</v>
      </c>
      <c r="H67" s="8">
        <f>'📋 ORDERS'!L63</f>
        <v>6</v>
      </c>
    </row>
    <row r="68" spans="2:8" ht="15.75" customHeight="1" x14ac:dyDescent="0.35">
      <c r="B68" s="3">
        <f>'📋 ORDERS'!E64</f>
        <v>0</v>
      </c>
      <c r="C68" s="3">
        <f>'📋 ORDERS'!F64</f>
        <v>16177612</v>
      </c>
      <c r="D68" s="3" t="str">
        <f>'📋 ORDERS'!G64</f>
        <v>TSN 526 S</v>
      </c>
      <c r="E68" s="3" t="str">
        <f>'📋 ORDERS'!H64</f>
        <v>SEAL TSN526S SKF</v>
      </c>
      <c r="F68" s="4">
        <f>'📋 ORDERS'!I64</f>
        <v>46161</v>
      </c>
      <c r="G68" s="4">
        <v>46275</v>
      </c>
      <c r="H68" s="5">
        <f>'📋 ORDERS'!L64</f>
        <v>16</v>
      </c>
    </row>
    <row r="69" spans="2:8" ht="15.75" customHeight="1" x14ac:dyDescent="0.35">
      <c r="B69" s="6">
        <f>'📋 ORDERS'!E65</f>
        <v>4300037783</v>
      </c>
      <c r="C69" s="6">
        <f>'📋 ORDERS'!F65</f>
        <v>13188470</v>
      </c>
      <c r="D69" s="6" t="str">
        <f>'📋 ORDERS'!G65</f>
        <v>COP.01EB140MGR</v>
      </c>
      <c r="E69" s="6" t="str">
        <f>'📋 ORDERS'!H65</f>
        <v>CL RL BRG 01 B 140M GR COOPER BEARINGS</v>
      </c>
      <c r="F69" s="7">
        <f>'📋 ORDERS'!I65</f>
        <v>46154</v>
      </c>
      <c r="G69" s="7">
        <v>46261</v>
      </c>
      <c r="H69" s="8">
        <f>'📋 ORDERS'!L65</f>
        <v>1</v>
      </c>
    </row>
    <row r="70" spans="2:8" ht="15.75" customHeight="1" x14ac:dyDescent="0.35">
      <c r="B70" s="3">
        <f>'📋 ORDERS'!E66</f>
        <v>4300037783</v>
      </c>
      <c r="C70" s="3">
        <f>'📋 ORDERS'!F66</f>
        <v>13188470</v>
      </c>
      <c r="D70" s="3" t="str">
        <f>'📋 ORDERS'!G66</f>
        <v>COP.01EB140MGR</v>
      </c>
      <c r="E70" s="3" t="str">
        <f>'📋 ORDERS'!H66</f>
        <v>CL RL BRG 01 B 140M GR COOPER BEARINGS</v>
      </c>
      <c r="F70" s="4">
        <f>'📋 ORDERS'!I66</f>
        <v>46154</v>
      </c>
      <c r="G70" s="4">
        <v>46261</v>
      </c>
      <c r="H70" s="5">
        <f>'📋 ORDERS'!L66</f>
        <v>1</v>
      </c>
    </row>
    <row r="71" spans="2:8" ht="15.75" customHeight="1" x14ac:dyDescent="0.35">
      <c r="B71" s="6">
        <f>'📋 ORDERS'!E67</f>
        <v>4300037815</v>
      </c>
      <c r="C71" s="6">
        <f>'📋 ORDERS'!F67</f>
        <v>15011261</v>
      </c>
      <c r="D71" s="6" t="str">
        <f>'📋 ORDERS'!G67</f>
        <v>22326 CCJA/W33VA405</v>
      </c>
      <c r="E71" s="6" t="str">
        <f>'📋 ORDERS'!H67</f>
        <v>BEARING 22326 CC JA C4 W33 VA405 SKF</v>
      </c>
      <c r="F71" s="7">
        <f>'📋 ORDERS'!I67</f>
        <v>46154</v>
      </c>
      <c r="G71" s="7">
        <v>46254</v>
      </c>
      <c r="H71" s="8">
        <f>'📋 ORDERS'!L67</f>
        <v>60</v>
      </c>
    </row>
    <row r="72" spans="2:8" ht="15.75" customHeight="1" x14ac:dyDescent="0.35">
      <c r="B72" s="3">
        <f>'📋 ORDERS'!E68</f>
        <v>4300037815</v>
      </c>
      <c r="C72" s="3">
        <f>'📋 ORDERS'!F68</f>
        <v>15011261</v>
      </c>
      <c r="D72" s="3" t="str">
        <f>'📋 ORDERS'!G68</f>
        <v>22326 CCJA/W33VA405</v>
      </c>
      <c r="E72" s="3" t="str">
        <f>'📋 ORDERS'!H68</f>
        <v>BEARING 22326 CC JA C4 W33 VA405 SKF</v>
      </c>
      <c r="F72" s="4">
        <f>'📋 ORDERS'!I68</f>
        <v>46154</v>
      </c>
      <c r="G72" s="4">
        <v>46254</v>
      </c>
      <c r="H72" s="5">
        <f>'📋 ORDERS'!L68</f>
        <v>22</v>
      </c>
    </row>
    <row r="73" spans="2:8" ht="15.75" customHeight="1" x14ac:dyDescent="0.35">
      <c r="B73" s="6">
        <f>'📋 ORDERS'!E69</f>
        <v>4300037947</v>
      </c>
      <c r="C73" s="6">
        <f>'📋 ORDERS'!F69</f>
        <v>15055565</v>
      </c>
      <c r="D73" s="6" t="str">
        <f>'📋 ORDERS'!G69</f>
        <v>COP.SDQ3140</v>
      </c>
      <c r="E73" s="6" t="str">
        <f>'📋 ORDERS'!H69</f>
        <v>BEARING;SANDVIK;01BC SD3140 GR TL</v>
      </c>
      <c r="F73" s="7">
        <f>'📋 ORDERS'!I69</f>
        <v>46169</v>
      </c>
      <c r="G73" s="7">
        <v>46190</v>
      </c>
      <c r="H73" s="8">
        <f>'📋 ORDERS'!L69</f>
        <v>3</v>
      </c>
    </row>
    <row r="74" spans="2:8" ht="15.75" customHeight="1" x14ac:dyDescent="0.35">
      <c r="B74" s="3">
        <f>'📋 ORDERS'!E70</f>
        <v>0</v>
      </c>
      <c r="C74" s="3">
        <f>'📋 ORDERS'!F70</f>
        <v>16177612</v>
      </c>
      <c r="D74" s="3" t="str">
        <f>'📋 ORDERS'!G70</f>
        <v>TSN 526 S</v>
      </c>
      <c r="E74" s="3" t="str">
        <f>'📋 ORDERS'!H70</f>
        <v>SEAL TSN526S SKF</v>
      </c>
      <c r="F74" s="4">
        <f>'📋 ORDERS'!I70</f>
        <v>46161</v>
      </c>
      <c r="G74" s="4">
        <v>46247</v>
      </c>
      <c r="H74" s="5">
        <f>'📋 ORDERS'!L70</f>
        <v>6</v>
      </c>
    </row>
    <row r="75" spans="2:8" ht="15.75" customHeight="1" x14ac:dyDescent="0.35">
      <c r="B75" s="6">
        <f>'📋 ORDERS'!E71</f>
        <v>0</v>
      </c>
      <c r="C75" s="6">
        <f>'📋 ORDERS'!F71</f>
        <v>16177612</v>
      </c>
      <c r="D75" s="6" t="str">
        <f>'📋 ORDERS'!G71</f>
        <v>TSN 526 S</v>
      </c>
      <c r="E75" s="6" t="str">
        <f>'📋 ORDERS'!H71</f>
        <v>SEAL TSN526S SKF</v>
      </c>
      <c r="F75" s="7">
        <f>'📋 ORDERS'!I71</f>
        <v>46161</v>
      </c>
      <c r="G75" s="7">
        <v>46247</v>
      </c>
      <c r="H75" s="8">
        <f>'📋 ORDERS'!L71</f>
        <v>6</v>
      </c>
    </row>
    <row r="76" spans="2:8" ht="15.75" customHeight="1" x14ac:dyDescent="0.35">
      <c r="B76" s="3">
        <f>'📋 ORDERS'!E72</f>
        <v>0</v>
      </c>
      <c r="C76" s="3">
        <f>'📋 ORDERS'!F72</f>
        <v>16177612</v>
      </c>
      <c r="D76" s="3" t="str">
        <f>'📋 ORDERS'!G72</f>
        <v>TSN 526 S</v>
      </c>
      <c r="E76" s="3" t="str">
        <f>'📋 ORDERS'!H72</f>
        <v>SEAL TSN526S SKF</v>
      </c>
      <c r="F76" s="4">
        <f>'📋 ORDERS'!I72</f>
        <v>46161</v>
      </c>
      <c r="G76" s="4">
        <v>46247</v>
      </c>
      <c r="H76" s="5">
        <f>'📋 ORDERS'!L72</f>
        <v>4</v>
      </c>
    </row>
    <row r="77" spans="2:8" ht="15.75" customHeight="1" x14ac:dyDescent="0.35">
      <c r="B77" s="6">
        <f>'📋 ORDERS'!E73</f>
        <v>0</v>
      </c>
      <c r="C77" s="6">
        <f>'📋 ORDERS'!F73</f>
        <v>16177612</v>
      </c>
      <c r="D77" s="6" t="str">
        <f>'📋 ORDERS'!G73</f>
        <v>TSN 526 S</v>
      </c>
      <c r="E77" s="6" t="str">
        <f>'📋 ORDERS'!H73</f>
        <v>SEAL TSN526S SKF</v>
      </c>
      <c r="F77" s="7">
        <f>'📋 ORDERS'!I73</f>
        <v>46161</v>
      </c>
      <c r="G77" s="7">
        <v>46247</v>
      </c>
      <c r="H77" s="8">
        <f>'📋 ORDERS'!L73</f>
        <v>6</v>
      </c>
    </row>
    <row r="78" spans="2:8" ht="15.75" customHeight="1" x14ac:dyDescent="0.35">
      <c r="B78" s="3">
        <f>'📋 ORDERS'!E74</f>
        <v>0</v>
      </c>
      <c r="C78" s="3">
        <f>'📋 ORDERS'!F74</f>
        <v>15055680</v>
      </c>
      <c r="D78" s="3" t="str">
        <f>'📋 ORDERS'!G74</f>
        <v>22226 EK/C3</v>
      </c>
      <c r="E78" s="3" t="str">
        <f>'📋 ORDERS'!H74</f>
        <v>BEARING 22226 CCK W33 SKF</v>
      </c>
      <c r="F78" s="4">
        <f>'📋 ORDERS'!I74</f>
        <v>46161</v>
      </c>
      <c r="G78" s="4">
        <v>46247</v>
      </c>
      <c r="H78" s="5">
        <f>'📋 ORDERS'!L74</f>
        <v>4</v>
      </c>
    </row>
    <row r="79" spans="2:8" ht="15.75" customHeight="1" x14ac:dyDescent="0.35">
      <c r="B79" s="6">
        <f>'📋 ORDERS'!E75</f>
        <v>0</v>
      </c>
      <c r="C79" s="6">
        <f>'📋 ORDERS'!F75</f>
        <v>15419258</v>
      </c>
      <c r="D79" s="6" t="str">
        <f>'📋 ORDERS'!G75</f>
        <v>H 3140</v>
      </c>
      <c r="E79" s="6" t="str">
        <f>'📋 ORDERS'!H75</f>
        <v>BRG BUSHING FIXAT 180MM H 3140 SKF</v>
      </c>
      <c r="F79" s="7">
        <f>'📋 ORDERS'!I75</f>
        <v>46161</v>
      </c>
      <c r="G79" s="7">
        <v>46247</v>
      </c>
      <c r="H79" s="8">
        <f>'📋 ORDERS'!L75</f>
        <v>2</v>
      </c>
    </row>
    <row r="80" spans="2:8" ht="15.75" customHeight="1" x14ac:dyDescent="0.35">
      <c r="B80" s="3">
        <f>'📋 ORDERS'!E76</f>
        <v>4300038759</v>
      </c>
      <c r="C80" s="3">
        <f>'📋 ORDERS'!F76</f>
        <v>13040483</v>
      </c>
      <c r="D80" s="3" t="str">
        <f>'📋 ORDERS'!G76</f>
        <v>COP.ATL170M</v>
      </c>
      <c r="E80" s="3" t="str">
        <f>'📋 ORDERS'!H76</f>
        <v>LABYRINTH SEAL 170MMATL TIMKEN</v>
      </c>
      <c r="F80" s="4">
        <f>'📋 ORDERS'!I76</f>
        <v>46169</v>
      </c>
      <c r="G80" s="4">
        <v>46247</v>
      </c>
      <c r="H80" s="5">
        <f>'📋 ORDERS'!L76</f>
        <v>50</v>
      </c>
    </row>
    <row r="81" spans="2:8" ht="15.75" customHeight="1" x14ac:dyDescent="0.35">
      <c r="B81" s="6">
        <f>'📋 ORDERS'!E77</f>
        <v>4300038759</v>
      </c>
      <c r="C81" s="6">
        <f>'📋 ORDERS'!F77</f>
        <v>17545471</v>
      </c>
      <c r="D81" s="6" t="str">
        <f>'📋 ORDERS'!G77</f>
        <v>PHF TB5040X100MM</v>
      </c>
      <c r="E81" s="6" t="str">
        <f>'📋 ORDERS'!H77</f>
        <v>BUSH, TAPER LOCK;5040,100mm,101,6mm,SKF</v>
      </c>
      <c r="F81" s="7">
        <f>'📋 ORDERS'!I77</f>
        <v>46169</v>
      </c>
      <c r="G81" s="7">
        <v>46247</v>
      </c>
      <c r="H81" s="8">
        <f>'📋 ORDERS'!L77</f>
        <v>1</v>
      </c>
    </row>
    <row r="82" spans="2:8" ht="15.75" customHeight="1" x14ac:dyDescent="0.35">
      <c r="B82" s="3">
        <f>'📋 ORDERS'!E78</f>
        <v>4300038759</v>
      </c>
      <c r="C82" s="3">
        <f>'📋 ORDERS'!F78</f>
        <v>13040483</v>
      </c>
      <c r="D82" s="3" t="str">
        <f>'📋 ORDERS'!G78</f>
        <v>COP.ATL170M</v>
      </c>
      <c r="E82" s="3" t="str">
        <f>'📋 ORDERS'!H78</f>
        <v>LABYRINTH SEAL 170MMATL TIMKEN</v>
      </c>
      <c r="F82" s="4">
        <f>'📋 ORDERS'!I78</f>
        <v>46169</v>
      </c>
      <c r="G82" s="4">
        <v>46247</v>
      </c>
      <c r="H82" s="5">
        <f>'📋 ORDERS'!L78</f>
        <v>4</v>
      </c>
    </row>
    <row r="83" spans="2:8" ht="15.75" customHeight="1" x14ac:dyDescent="0.35">
      <c r="B83" s="6">
        <f>'📋 ORDERS'!E79</f>
        <v>4300038759</v>
      </c>
      <c r="C83" s="6">
        <f>'📋 ORDERS'!F79</f>
        <v>17545471</v>
      </c>
      <c r="D83" s="6" t="str">
        <f>'📋 ORDERS'!G79</f>
        <v>PHF TB5040X100MM</v>
      </c>
      <c r="E83" s="6" t="str">
        <f>'📋 ORDERS'!H79</f>
        <v>BUSH, TAPER LOCK;5040,100mm,101,6mm,SKF</v>
      </c>
      <c r="F83" s="7">
        <f>'📋 ORDERS'!I79</f>
        <v>46169</v>
      </c>
      <c r="G83" s="7">
        <v>46247</v>
      </c>
      <c r="H83" s="8">
        <f>'📋 ORDERS'!L79</f>
        <v>2</v>
      </c>
    </row>
    <row r="84" spans="2:8" ht="15.75" customHeight="1" x14ac:dyDescent="0.35">
      <c r="B84" s="3">
        <f>'📋 ORDERS'!E80</f>
        <v>4300038547</v>
      </c>
      <c r="C84" s="3">
        <f>'📋 ORDERS'!F80</f>
        <v>17563131</v>
      </c>
      <c r="D84" s="3" t="str">
        <f>'📋 ORDERS'!G80</f>
        <v>CMSS 943-LCI-SY-20M</v>
      </c>
      <c r="E84" s="3" t="str">
        <f>'📋 ORDERS'!H80</f>
        <v>CABLE ASSEMBLY; CMSS 943-LCI-SY-20M; SKF</v>
      </c>
      <c r="F84" s="4">
        <f>'📋 ORDERS'!I80</f>
        <v>46163</v>
      </c>
      <c r="G84" s="4">
        <v>46247</v>
      </c>
      <c r="H84" s="5">
        <f>'📋 ORDERS'!L80</f>
        <v>130</v>
      </c>
    </row>
    <row r="85" spans="2:8" ht="15.75" customHeight="1" x14ac:dyDescent="0.35">
      <c r="B85" s="6">
        <f>'📋 ORDERS'!E81</f>
        <v>4300037223</v>
      </c>
      <c r="C85" s="6">
        <f>'📋 ORDERS'!F81</f>
        <v>15134397</v>
      </c>
      <c r="D85" s="6" t="str">
        <f>'📋 ORDERS'!G81</f>
        <v>SRV.NU 407</v>
      </c>
      <c r="E85" s="6" t="str">
        <f>'📋 ORDERS'!H81</f>
        <v>CYL ROL BEARING</v>
      </c>
      <c r="F85" s="7">
        <f>'📋 ORDERS'!I81</f>
        <v>46154</v>
      </c>
      <c r="G85" s="7">
        <v>46247</v>
      </c>
      <c r="H85" s="8">
        <f>'📋 ORDERS'!L81</f>
        <v>27</v>
      </c>
    </row>
    <row r="86" spans="2:8" ht="15.75" customHeight="1" x14ac:dyDescent="0.35">
      <c r="B86" s="3">
        <f>'📋 ORDERS'!E82</f>
        <v>4300036353</v>
      </c>
      <c r="C86" s="3">
        <f>'📋 ORDERS'!F82</f>
        <v>15047773</v>
      </c>
      <c r="D86" s="3" t="str">
        <f>'📋 ORDERS'!G82</f>
        <v>H 3136</v>
      </c>
      <c r="E86" s="3" t="str">
        <f>'📋 ORDERS'!H82</f>
        <v>BRG BUSHING FIXAT 160MM</v>
      </c>
      <c r="F86" s="4">
        <f>'📋 ORDERS'!I82</f>
        <v>46100</v>
      </c>
      <c r="G86" s="4">
        <v>46240</v>
      </c>
      <c r="H86" s="5">
        <f>'📋 ORDERS'!L82</f>
        <v>4</v>
      </c>
    </row>
    <row r="87" spans="2:8" ht="15.75" customHeight="1" x14ac:dyDescent="0.35">
      <c r="B87" s="6">
        <f>'📋 ORDERS'!E83</f>
        <v>4300035325</v>
      </c>
      <c r="C87" s="6">
        <f>'📋 ORDERS'!F83</f>
        <v>15153689</v>
      </c>
      <c r="D87" s="6" t="str">
        <f>'📋 ORDERS'!G83</f>
        <v>COP.01EB150MGR</v>
      </c>
      <c r="E87" s="6" t="str">
        <f>'📋 ORDERS'!H83</f>
        <v>CL RL BRG 01 B 150M GR COPPER BEARINGS</v>
      </c>
      <c r="F87" s="7">
        <f>'📋 ORDERS'!I83</f>
        <v>46066</v>
      </c>
      <c r="G87" s="7">
        <v>46247</v>
      </c>
      <c r="H87" s="8">
        <f>'📋 ORDERS'!L83</f>
        <v>1</v>
      </c>
    </row>
    <row r="88" spans="2:8" ht="15.75" customHeight="1" x14ac:dyDescent="0.35">
      <c r="B88" s="3">
        <f>'📋 ORDERS'!E84</f>
        <v>4300037815</v>
      </c>
      <c r="C88" s="3">
        <f>'📋 ORDERS'!F84</f>
        <v>15011261</v>
      </c>
      <c r="D88" s="3" t="str">
        <f>'📋 ORDERS'!G84</f>
        <v>22326 CCJA/W33VA405</v>
      </c>
      <c r="E88" s="3" t="str">
        <f>'📋 ORDERS'!H84</f>
        <v>BEARING 22326 CC JA C4 W33 VA405 SKF</v>
      </c>
      <c r="F88" s="4">
        <f>'📋 ORDERS'!I84</f>
        <v>46155</v>
      </c>
      <c r="G88" s="4">
        <v>46197</v>
      </c>
      <c r="H88" s="5">
        <f>'📋 ORDERS'!L84</f>
        <v>20</v>
      </c>
    </row>
    <row r="89" spans="2:8" ht="15.75" customHeight="1" x14ac:dyDescent="0.35">
      <c r="B89" s="6">
        <f>'📋 ORDERS'!E85</f>
        <v>0</v>
      </c>
      <c r="C89" s="6">
        <f>'📋 ORDERS'!F85</f>
        <v>0</v>
      </c>
      <c r="D89" s="6" t="str">
        <f>'📋 ORDERS'!G85</f>
        <v>NU 2228 ECML/C3</v>
      </c>
      <c r="E89" s="6" t="str">
        <f>'📋 ORDERS'!H85</f>
        <v>CYLINDRICAL ROLLER BEARING NU 2228 ECML/C3</v>
      </c>
      <c r="F89" s="7">
        <f>'📋 ORDERS'!I85</f>
        <v>46129</v>
      </c>
      <c r="G89" s="7">
        <v>46147</v>
      </c>
      <c r="H89" s="8">
        <f>'📋 ORDERS'!L85</f>
        <v>4</v>
      </c>
    </row>
    <row r="90" spans="2:8" ht="15.75" customHeight="1" x14ac:dyDescent="0.35">
      <c r="B90" s="3">
        <f>'📋 ORDERS'!E86</f>
        <v>4300036955</v>
      </c>
      <c r="C90" s="3">
        <f>'📋 ORDERS'!F86</f>
        <v>16177612</v>
      </c>
      <c r="D90" s="3" t="str">
        <f>'📋 ORDERS'!G86</f>
        <v>TSN 526 S</v>
      </c>
      <c r="E90" s="3" t="str">
        <f>'📋 ORDERS'!H86</f>
        <v>SEAL TSN526S SKF</v>
      </c>
      <c r="F90" s="4">
        <f>'📋 ORDERS'!I86</f>
        <v>46121</v>
      </c>
      <c r="G90" s="4">
        <v>46205</v>
      </c>
      <c r="H90" s="5">
        <f>'📋 ORDERS'!L86</f>
        <v>4</v>
      </c>
    </row>
    <row r="91" spans="2:8" ht="15.75" customHeight="1" x14ac:dyDescent="0.35">
      <c r="B91" s="6">
        <f>'📋 ORDERS'!E87</f>
        <v>4300036955</v>
      </c>
      <c r="C91" s="6">
        <f>'📋 ORDERS'!F87</f>
        <v>15004591</v>
      </c>
      <c r="D91" s="6" t="str">
        <f>'📋 ORDERS'!G87</f>
        <v>22328 CCJA/W33VA405</v>
      </c>
      <c r="E91" s="6" t="str">
        <f>'📋 ORDERS'!H87</f>
        <v>BEARING 22328 CC JA C4 W33 VA405 SKF</v>
      </c>
      <c r="F91" s="7">
        <f>'📋 ORDERS'!I87</f>
        <v>46121</v>
      </c>
      <c r="G91" s="7">
        <v>46212</v>
      </c>
      <c r="H91" s="8">
        <f>'📋 ORDERS'!L87</f>
        <v>10</v>
      </c>
    </row>
    <row r="92" spans="2:8" ht="15.75" customHeight="1" x14ac:dyDescent="0.35">
      <c r="B92" s="3">
        <f>'📋 ORDERS'!E88</f>
        <v>4300036955</v>
      </c>
      <c r="C92" s="3">
        <f>'📋 ORDERS'!F88</f>
        <v>17546207</v>
      </c>
      <c r="D92" s="3" t="str">
        <f>'📋 ORDERS'!G88</f>
        <v>6216-2Z/C3</v>
      </c>
      <c r="E92" s="3" t="str">
        <f>'📋 ORDERS'!H88</f>
        <v>BEARING, BALL;DEEP GROOVE, 6216-2Z/C3,1</v>
      </c>
      <c r="F92" s="4">
        <f>'📋 ORDERS'!I88</f>
        <v>46121</v>
      </c>
      <c r="G92" s="4">
        <v>46205</v>
      </c>
      <c r="H92" s="5">
        <f>'📋 ORDERS'!L88</f>
        <v>10</v>
      </c>
    </row>
    <row r="93" spans="2:8" ht="15.75" customHeight="1" x14ac:dyDescent="0.35">
      <c r="B93" s="6">
        <f>'📋 ORDERS'!E89</f>
        <v>4300036955</v>
      </c>
      <c r="C93" s="6">
        <f>'📋 ORDERS'!F89</f>
        <v>15374646</v>
      </c>
      <c r="D93" s="6" t="str">
        <f>'📋 ORDERS'!G89</f>
        <v>31310/CL7C</v>
      </c>
      <c r="E93" s="6" t="str">
        <f>'📋 ORDERS'!H89</f>
        <v>ROLL BEARING 31310 J2 Q CL7C SKF</v>
      </c>
      <c r="F93" s="7">
        <f>'📋 ORDERS'!I89</f>
        <v>46121</v>
      </c>
      <c r="G93" s="7">
        <v>46205</v>
      </c>
      <c r="H93" s="8">
        <f>'📋 ORDERS'!L89</f>
        <v>10</v>
      </c>
    </row>
    <row r="94" spans="2:8" ht="15.75" customHeight="1" x14ac:dyDescent="0.35">
      <c r="B94" s="3">
        <f>'📋 ORDERS'!E90</f>
        <v>4300036955</v>
      </c>
      <c r="C94" s="3">
        <f>'📋 ORDERS'!F90</f>
        <v>15374409</v>
      </c>
      <c r="D94" s="3" t="str">
        <f>'📋 ORDERS'!G90</f>
        <v>30314</v>
      </c>
      <c r="E94" s="3" t="str">
        <f>'📋 ORDERS'!H90</f>
        <v>ROLL BEARING 30314 J2 Q SKF</v>
      </c>
      <c r="F94" s="4">
        <f>'📋 ORDERS'!I90</f>
        <v>46121</v>
      </c>
      <c r="G94" s="4">
        <v>46205</v>
      </c>
      <c r="H94" s="5">
        <f>'📋 ORDERS'!L90</f>
        <v>4</v>
      </c>
    </row>
    <row r="95" spans="2:8" ht="15.75" customHeight="1" x14ac:dyDescent="0.35">
      <c r="B95" s="6">
        <f>'📋 ORDERS'!E91</f>
        <v>4300036955</v>
      </c>
      <c r="C95" s="6">
        <f>'📋 ORDERS'!F91</f>
        <v>15153017</v>
      </c>
      <c r="D95" s="6" t="str">
        <f>'📋 ORDERS'!G91</f>
        <v>6316/C3</v>
      </c>
      <c r="E95" s="6" t="str">
        <f>'📋 ORDERS'!H91</f>
        <v>BEARING 6316-C3;FRAME 250S/M;WEG</v>
      </c>
      <c r="F95" s="7">
        <f>'📋 ORDERS'!I91</f>
        <v>46121</v>
      </c>
      <c r="G95" s="7">
        <v>46205</v>
      </c>
      <c r="H95" s="8">
        <f>'📋 ORDERS'!L91</f>
        <v>18</v>
      </c>
    </row>
    <row r="96" spans="2:8" ht="15.75" customHeight="1" x14ac:dyDescent="0.35">
      <c r="B96" s="3">
        <f>'📋 ORDERS'!E92</f>
        <v>4300036955</v>
      </c>
      <c r="C96" s="3">
        <f>'📋 ORDERS'!F92</f>
        <v>17563152</v>
      </c>
      <c r="D96" s="3" t="str">
        <f>'📋 ORDERS'!G92</f>
        <v>NU 319 ECJ/C3</v>
      </c>
      <c r="E96" s="3" t="str">
        <f>'📋 ORDERS'!H92</f>
        <v>CYLIND ROLLER BEARING_NU_319_C3-SKF</v>
      </c>
      <c r="F96" s="4">
        <f>'📋 ORDERS'!I92</f>
        <v>46121</v>
      </c>
      <c r="G96" s="4">
        <v>46205</v>
      </c>
      <c r="H96" s="5">
        <f>'📋 ORDERS'!L92</f>
        <v>4</v>
      </c>
    </row>
    <row r="97" spans="2:8" ht="15.75" customHeight="1" x14ac:dyDescent="0.35">
      <c r="B97" s="6">
        <f>'📋 ORDERS'!E93</f>
        <v>4300036955</v>
      </c>
      <c r="C97" s="6">
        <f>'📋 ORDERS'!F93</f>
        <v>15055680</v>
      </c>
      <c r="D97" s="6" t="str">
        <f>'📋 ORDERS'!G93</f>
        <v>22226 EK</v>
      </c>
      <c r="E97" s="6" t="str">
        <f>'📋 ORDERS'!H93</f>
        <v>BEARING 22226 CCK W33 SKF</v>
      </c>
      <c r="F97" s="7">
        <f>'📋 ORDERS'!I93</f>
        <v>46121</v>
      </c>
      <c r="G97" s="7">
        <v>46205</v>
      </c>
      <c r="H97" s="8">
        <f>'📋 ORDERS'!L93</f>
        <v>10</v>
      </c>
    </row>
    <row r="98" spans="2:8" ht="15.75" customHeight="1" x14ac:dyDescent="0.35">
      <c r="B98" s="3">
        <f>'📋 ORDERS'!E94</f>
        <v>4300036757</v>
      </c>
      <c r="C98" s="3">
        <f>'📋 ORDERS'!F94</f>
        <v>15475312</v>
      </c>
      <c r="D98" s="3" t="str">
        <f>'📋 ORDERS'!G94</f>
        <v>CMPT 2310TX20</v>
      </c>
      <c r="E98" s="3" t="str">
        <f>'📋 ORDERS'!H94</f>
        <v>SENSOR INTEGRATED CABLE; CMPT 2310TX20</v>
      </c>
      <c r="F98" s="4">
        <f>'📋 ORDERS'!I94</f>
        <v>46113</v>
      </c>
      <c r="G98" s="4">
        <v>46198</v>
      </c>
      <c r="H98" s="5">
        <f>'📋 ORDERS'!L94</f>
        <v>33</v>
      </c>
    </row>
    <row r="99" spans="2:8" ht="15.75" customHeight="1" x14ac:dyDescent="0.35">
      <c r="B99" s="6">
        <f>'📋 ORDERS'!E95</f>
        <v>4300036757</v>
      </c>
      <c r="C99" s="6">
        <f>'📋 ORDERS'!F95</f>
        <v>15475312</v>
      </c>
      <c r="D99" s="6" t="str">
        <f>'📋 ORDERS'!G95</f>
        <v>CMPT 2310TX20</v>
      </c>
      <c r="E99" s="6" t="str">
        <f>'📋 ORDERS'!H95</f>
        <v>SENSOR INTEGRATED CABLE; CMPT 2310TX20</v>
      </c>
      <c r="F99" s="7">
        <f>'📋 ORDERS'!I95</f>
        <v>46113</v>
      </c>
      <c r="G99" s="7">
        <v>46204</v>
      </c>
      <c r="H99" s="8">
        <f>'📋 ORDERS'!L95</f>
        <v>5</v>
      </c>
    </row>
    <row r="100" spans="2:8" ht="15.75" customHeight="1" x14ac:dyDescent="0.35">
      <c r="B100" s="3">
        <f>'📋 ORDERS'!E96</f>
        <v>4300036757</v>
      </c>
      <c r="C100" s="3">
        <f>'📋 ORDERS'!F96</f>
        <v>15475312</v>
      </c>
      <c r="D100" s="3" t="str">
        <f>'📋 ORDERS'!G96</f>
        <v>CMPT 2310TX20</v>
      </c>
      <c r="E100" s="3" t="str">
        <f>'📋 ORDERS'!H96</f>
        <v>SENSOR INTEGRATED CABLE; CMPT 2310TX20</v>
      </c>
      <c r="F100" s="4">
        <f>'📋 ORDERS'!I96</f>
        <v>46113</v>
      </c>
      <c r="G100" s="4">
        <v>46199</v>
      </c>
      <c r="H100" s="5">
        <f>'📋 ORDERS'!L96</f>
        <v>20</v>
      </c>
    </row>
    <row r="101" spans="2:8" ht="15.75" customHeight="1" x14ac:dyDescent="0.35">
      <c r="B101" s="6">
        <f>'📋 ORDERS'!E97</f>
        <v>4300036353</v>
      </c>
      <c r="C101" s="6">
        <f>'📋 ORDERS'!F97</f>
        <v>13048138</v>
      </c>
      <c r="D101" s="6" t="str">
        <f>'📋 ORDERS'!G97</f>
        <v>240X270X15 HMSA10 RG</v>
      </c>
      <c r="E101" s="6" t="str">
        <f>'📋 ORDERS'!H97</f>
        <v>LIP SEAL FKM 240MM 270MM</v>
      </c>
      <c r="F101" s="7">
        <f>'📋 ORDERS'!I97</f>
        <v>46100</v>
      </c>
      <c r="G101" s="7">
        <v>46184</v>
      </c>
      <c r="H101" s="8">
        <f>'📋 ORDERS'!L97</f>
        <v>4</v>
      </c>
    </row>
    <row r="102" spans="2:8" ht="15.75" customHeight="1" x14ac:dyDescent="0.35">
      <c r="B102" s="3">
        <f>'📋 ORDERS'!E98</f>
        <v>4300036353</v>
      </c>
      <c r="C102" s="3">
        <f>'📋 ORDERS'!F98</f>
        <v>13119342</v>
      </c>
      <c r="D102" s="3" t="str">
        <f>'📋 ORDERS'!G98</f>
        <v>PHF TB2517X50MM</v>
      </c>
      <c r="E102" s="3" t="str">
        <f>'📋 ORDERS'!H98</f>
        <v>LCKG BUSH 50MM</v>
      </c>
      <c r="F102" s="4">
        <f>'📋 ORDERS'!I98</f>
        <v>46100</v>
      </c>
      <c r="G102" s="4">
        <v>46226</v>
      </c>
      <c r="H102" s="5">
        <f>'📋 ORDERS'!L98</f>
        <v>4</v>
      </c>
    </row>
    <row r="103" spans="2:8" ht="15.75" customHeight="1" x14ac:dyDescent="0.35">
      <c r="B103" s="6">
        <f>'📋 ORDERS'!E99</f>
        <v>4300036353</v>
      </c>
      <c r="C103" s="6">
        <f>'📋 ORDERS'!F99</f>
        <v>13120382</v>
      </c>
      <c r="D103" s="6" t="str">
        <f>'📋 ORDERS'!G99</f>
        <v>PHF TB4545X80MM</v>
      </c>
      <c r="E103" s="6" t="str">
        <f>'📋 ORDERS'!H99</f>
        <v>LOCKING BUSH 80MM</v>
      </c>
      <c r="F103" s="7">
        <f>'📋 ORDERS'!I99</f>
        <v>46100</v>
      </c>
      <c r="G103" s="7">
        <v>46191</v>
      </c>
      <c r="H103" s="8">
        <f>'📋 ORDERS'!L99</f>
        <v>1</v>
      </c>
    </row>
    <row r="104" spans="2:8" ht="15.75" customHeight="1" x14ac:dyDescent="0.35">
      <c r="B104" s="3">
        <f>'📋 ORDERS'!E100</f>
        <v>4300036353</v>
      </c>
      <c r="C104" s="3">
        <f>'📋 ORDERS'!F100</f>
        <v>13120382</v>
      </c>
      <c r="D104" s="3" t="str">
        <f>'📋 ORDERS'!G100</f>
        <v>PHF TB4545X80MM</v>
      </c>
      <c r="E104" s="3" t="str">
        <f>'📋 ORDERS'!H100</f>
        <v>LOCKING BUSH 80MM</v>
      </c>
      <c r="F104" s="4">
        <f>'📋 ORDERS'!I100</f>
        <v>46100</v>
      </c>
      <c r="G104" s="4">
        <v>46226</v>
      </c>
      <c r="H104" s="5">
        <f>'📋 ORDERS'!L100</f>
        <v>3</v>
      </c>
    </row>
    <row r="105" spans="2:8" ht="15.75" customHeight="1" x14ac:dyDescent="0.35">
      <c r="B105" s="6">
        <f>'📋 ORDERS'!E101</f>
        <v>4300036353</v>
      </c>
      <c r="C105" s="6">
        <f>'📋 ORDERS'!F101</f>
        <v>13048138</v>
      </c>
      <c r="D105" s="6" t="str">
        <f>'📋 ORDERS'!G101</f>
        <v>240X270X15 HMSA10 RG</v>
      </c>
      <c r="E105" s="6" t="str">
        <f>'📋 ORDERS'!H101</f>
        <v>LIP SEAL FKM 240MM 270MM</v>
      </c>
      <c r="F105" s="7">
        <f>'📋 ORDERS'!I101</f>
        <v>46100</v>
      </c>
      <c r="G105" s="7">
        <v>46184</v>
      </c>
      <c r="H105" s="8">
        <f>'📋 ORDERS'!L101</f>
        <v>4</v>
      </c>
    </row>
    <row r="106" spans="2:8" ht="15.75" customHeight="1" x14ac:dyDescent="0.35">
      <c r="B106" s="3">
        <f>'📋 ORDERS'!E102</f>
        <v>4300036353</v>
      </c>
      <c r="C106" s="3">
        <f>'📋 ORDERS'!F102</f>
        <v>17544606</v>
      </c>
      <c r="D106" s="3" t="str">
        <f>'📋 ORDERS'!G102</f>
        <v>110X150X12 HMSA10 RG</v>
      </c>
      <c r="E106" s="3" t="str">
        <f>'📋 ORDERS'!H102</f>
        <v>OIL SEAL,110x150x12mm,110x150x12HMSA10RG</v>
      </c>
      <c r="F106" s="4">
        <f>'📋 ORDERS'!I102</f>
        <v>46100</v>
      </c>
      <c r="G106" s="4">
        <v>46184</v>
      </c>
      <c r="H106" s="5">
        <f>'📋 ORDERS'!L102</f>
        <v>20</v>
      </c>
    </row>
    <row r="107" spans="2:8" ht="15.75" customHeight="1" x14ac:dyDescent="0.35">
      <c r="B107" s="6">
        <f>'📋 ORDERS'!E103</f>
        <v>4300036353</v>
      </c>
      <c r="C107" s="6">
        <f>'📋 ORDERS'!F103</f>
        <v>17546208</v>
      </c>
      <c r="D107" s="6" t="str">
        <f>'📋 ORDERS'!G103</f>
        <v>63X85X10 HMS5 RG</v>
      </c>
      <c r="E107" s="6" t="str">
        <f>'📋 ORDERS'!H103</f>
        <v>SEAL, OIL;63mm,85mm,10mm</v>
      </c>
      <c r="F107" s="7">
        <f>'📋 ORDERS'!I103</f>
        <v>46100</v>
      </c>
      <c r="G107" s="7">
        <v>46184</v>
      </c>
      <c r="H107" s="8">
        <f>'📋 ORDERS'!L103</f>
        <v>20</v>
      </c>
    </row>
    <row r="108" spans="2:8" ht="15.75" customHeight="1" x14ac:dyDescent="0.35">
      <c r="B108" s="3">
        <f>'📋 ORDERS'!E104</f>
        <v>4300036353</v>
      </c>
      <c r="C108" s="3">
        <f>'📋 ORDERS'!F104</f>
        <v>15165110</v>
      </c>
      <c r="D108" s="3" t="str">
        <f>'📋 ORDERS'!G104</f>
        <v>140X170X12 HMSA10 RG</v>
      </c>
      <c r="E108" s="3" t="str">
        <f>'📋 ORDERS'!H104</f>
        <v>SEAL(RADIAL SHAFT) 140X170X12;BE275739</v>
      </c>
      <c r="F108" s="4">
        <f>'📋 ORDERS'!I104</f>
        <v>46100</v>
      </c>
      <c r="G108" s="4">
        <v>46184</v>
      </c>
      <c r="H108" s="5">
        <f>'📋 ORDERS'!L104</f>
        <v>20</v>
      </c>
    </row>
    <row r="109" spans="2:8" ht="15.75" customHeight="1" x14ac:dyDescent="0.35">
      <c r="B109" s="6">
        <f>'📋 ORDERS'!E105</f>
        <v>4300036353</v>
      </c>
      <c r="C109" s="6">
        <f>'📋 ORDERS'!F105</f>
        <v>17510665</v>
      </c>
      <c r="D109" s="6" t="str">
        <f>'📋 ORDERS'!G105</f>
        <v>118X150X12 HMS5 RG</v>
      </c>
      <c r="E109" s="6" t="str">
        <f>'📋 ORDERS'!H105</f>
        <v>FKM SEAL RETAINER 118MM 150MM</v>
      </c>
      <c r="F109" s="7">
        <f>'📋 ORDERS'!I105</f>
        <v>46100</v>
      </c>
      <c r="G109" s="7">
        <v>46219</v>
      </c>
      <c r="H109" s="8">
        <f>'📋 ORDERS'!L105</f>
        <v>20</v>
      </c>
    </row>
    <row r="110" spans="2:8" ht="15.75" customHeight="1" x14ac:dyDescent="0.35">
      <c r="B110" s="3">
        <f>'📋 ORDERS'!E106</f>
        <v>4300036353</v>
      </c>
      <c r="C110" s="3">
        <f>'📋 ORDERS'!F106</f>
        <v>13051623</v>
      </c>
      <c r="D110" s="3" t="str">
        <f>'📋 ORDERS'!G106</f>
        <v>150X180X15 HMSA10 RG</v>
      </c>
      <c r="E110" s="3" t="str">
        <f>'📋 ORDERS'!H106</f>
        <v>LIP SEAL NBR 150MM 180MM</v>
      </c>
      <c r="F110" s="4">
        <f>'📋 ORDERS'!I106</f>
        <v>46100</v>
      </c>
      <c r="G110" s="4">
        <v>46184</v>
      </c>
      <c r="H110" s="5">
        <f>'📋 ORDERS'!L106</f>
        <v>20</v>
      </c>
    </row>
    <row r="111" spans="2:8" ht="15.75" customHeight="1" x14ac:dyDescent="0.35">
      <c r="B111" s="6">
        <f>'📋 ORDERS'!E107</f>
        <v>4300036353</v>
      </c>
      <c r="C111" s="6">
        <f>'📋 ORDERS'!F107</f>
        <v>15173835</v>
      </c>
      <c r="D111" s="6" t="str">
        <f>'📋 ORDERS'!G107</f>
        <v>6304-2Z</v>
      </c>
      <c r="E111" s="6" t="str">
        <f>'📋 ORDERS'!H107</f>
        <v>BALL BRNG 6304 2Z WT C3 SKF</v>
      </c>
      <c r="F111" s="7">
        <f>'📋 ORDERS'!I107</f>
        <v>46100</v>
      </c>
      <c r="G111" s="7">
        <v>46184</v>
      </c>
      <c r="H111" s="8">
        <f>'📋 ORDERS'!L107</f>
        <v>30</v>
      </c>
    </row>
    <row r="112" spans="2:8" ht="15.75" customHeight="1" x14ac:dyDescent="0.35">
      <c r="B112" s="3">
        <f>'📋 ORDERS'!E108</f>
        <v>4300036415</v>
      </c>
      <c r="C112" s="3">
        <f>'📋 ORDERS'!F108</f>
        <v>15077542</v>
      </c>
      <c r="D112" s="3" t="str">
        <f>'📋 ORDERS'!G108</f>
        <v>6022</v>
      </c>
      <c r="E112" s="3" t="str">
        <f>'📋 ORDERS'!H108</f>
        <v>BALL BRNG 6022 SKF</v>
      </c>
      <c r="F112" s="4">
        <f>'📋 ORDERS'!I108</f>
        <v>46100</v>
      </c>
      <c r="G112" s="4">
        <v>46191</v>
      </c>
      <c r="H112" s="5">
        <f>'📋 ORDERS'!L108</f>
        <v>5</v>
      </c>
    </row>
    <row r="113" spans="2:8" ht="15.75" customHeight="1" x14ac:dyDescent="0.35">
      <c r="B113" s="6">
        <f>'📋 ORDERS'!E109</f>
        <v>4300036415</v>
      </c>
      <c r="C113" s="6">
        <f>'📋 ORDERS'!F109</f>
        <v>13039801</v>
      </c>
      <c r="D113" s="6" t="str">
        <f>'📋 ORDERS'!G109</f>
        <v>NU 2317 ECJ</v>
      </c>
      <c r="E113" s="6" t="str">
        <f>'📋 ORDERS'!H109</f>
        <v>CYL ROLL BRG NU2317C3 NTN</v>
      </c>
      <c r="F113" s="7">
        <f>'📋 ORDERS'!I109</f>
        <v>46100</v>
      </c>
      <c r="G113" s="7">
        <v>46191</v>
      </c>
      <c r="H113" s="8">
        <f>'📋 ORDERS'!L109</f>
        <v>10</v>
      </c>
    </row>
    <row r="114" spans="2:8" ht="15.75" customHeight="1" x14ac:dyDescent="0.35">
      <c r="B114" s="3">
        <f>'📋 ORDERS'!E110</f>
        <v>4300036415</v>
      </c>
      <c r="C114" s="3">
        <f>'📋 ORDERS'!F110</f>
        <v>15134397</v>
      </c>
      <c r="D114" s="3" t="str">
        <f>'📋 ORDERS'!G110</f>
        <v>SRV.NU 407</v>
      </c>
      <c r="E114" s="3" t="str">
        <f>'📋 ORDERS'!H110</f>
        <v>CYL ROL BEARING</v>
      </c>
      <c r="F114" s="4">
        <f>'📋 ORDERS'!I110</f>
        <v>46100</v>
      </c>
      <c r="G114" s="4">
        <v>46191</v>
      </c>
      <c r="H114" s="5">
        <f>'📋 ORDERS'!L110</f>
        <v>20</v>
      </c>
    </row>
    <row r="115" spans="2:8" ht="15.75" customHeight="1" x14ac:dyDescent="0.35">
      <c r="B115" s="6">
        <f>'📋 ORDERS'!E111</f>
        <v>4300036415</v>
      </c>
      <c r="C115" s="6">
        <f>'📋 ORDERS'!F111</f>
        <v>15355302</v>
      </c>
      <c r="D115" s="6" t="str">
        <f>'📋 ORDERS'!G111</f>
        <v>6034 M</v>
      </c>
      <c r="E115" s="6" t="str">
        <f>'📋 ORDERS'!H111</f>
        <v>BALL BRNG 6034 M SKF</v>
      </c>
      <c r="F115" s="7">
        <f>'📋 ORDERS'!I111</f>
        <v>46100</v>
      </c>
      <c r="G115" s="7">
        <v>46191</v>
      </c>
      <c r="H115" s="8">
        <f>'📋 ORDERS'!L111</f>
        <v>4</v>
      </c>
    </row>
    <row r="116" spans="2:8" ht="15.75" customHeight="1" x14ac:dyDescent="0.35">
      <c r="B116" s="3">
        <f>'📋 ORDERS'!E112</f>
        <v>4300036415</v>
      </c>
      <c r="C116" s="3">
        <f>'📋 ORDERS'!F112</f>
        <v>15383260</v>
      </c>
      <c r="D116" s="3" t="str">
        <f>'📋 ORDERS'!G112</f>
        <v>NU 234 ECML/C3</v>
      </c>
      <c r="E116" s="3" t="str">
        <f>'📋 ORDERS'!H112</f>
        <v>CL RL BRG NU 234 M C3 SKF</v>
      </c>
      <c r="F116" s="4">
        <f>'📋 ORDERS'!I112</f>
        <v>46100</v>
      </c>
      <c r="G116" s="4">
        <v>46191</v>
      </c>
      <c r="H116" s="5">
        <f>'📋 ORDERS'!L112</f>
        <v>2</v>
      </c>
    </row>
    <row r="117" spans="2:8" ht="15.75" customHeight="1" x14ac:dyDescent="0.35">
      <c r="B117" s="6">
        <f>'📋 ORDERS'!E113</f>
        <v>4300036415</v>
      </c>
      <c r="C117" s="6">
        <f>'📋 ORDERS'!F113</f>
        <v>15134394</v>
      </c>
      <c r="D117" s="6" t="str">
        <f>'📋 ORDERS'!G113</f>
        <v>22320 E/C3</v>
      </c>
      <c r="E117" s="6" t="str">
        <f>'📋 ORDERS'!H113</f>
        <v>BEARING 22320 CC/W33 C3 SKF</v>
      </c>
      <c r="F117" s="7">
        <f>'📋 ORDERS'!I113</f>
        <v>46100</v>
      </c>
      <c r="G117" s="7">
        <v>46191</v>
      </c>
      <c r="H117" s="8">
        <f>'📋 ORDERS'!L113</f>
        <v>5</v>
      </c>
    </row>
    <row r="118" spans="2:8" ht="15.75" customHeight="1" x14ac:dyDescent="0.35">
      <c r="B118" s="3">
        <f>'📋 ORDERS'!E114</f>
        <v>4300036415</v>
      </c>
      <c r="C118" s="3">
        <f>'📋 ORDERS'!F114</f>
        <v>15375665</v>
      </c>
      <c r="D118" s="3" t="str">
        <f>'📋 ORDERS'!G114</f>
        <v>SNL 518-615</v>
      </c>
      <c r="E118" s="3" t="str">
        <f>'📋 ORDERS'!H114</f>
        <v>PILLOW BLOCK NOD CI 80MM SNL 518-615 SKF</v>
      </c>
      <c r="F118" s="4">
        <f>'📋 ORDERS'!I114</f>
        <v>46100</v>
      </c>
      <c r="G118" s="4">
        <v>46184</v>
      </c>
      <c r="H118" s="5">
        <f>'📋 ORDERS'!L114</f>
        <v>1</v>
      </c>
    </row>
    <row r="119" spans="2:8" ht="15.75" customHeight="1" x14ac:dyDescent="0.35">
      <c r="B119" s="6">
        <f>'📋 ORDERS'!E115</f>
        <v>4300034814</v>
      </c>
      <c r="C119" s="6">
        <f>'📋 ORDERS'!F115</f>
        <v>15377790</v>
      </c>
      <c r="D119" s="6" t="str">
        <f>'📋 ORDERS'!G115</f>
        <v>31315</v>
      </c>
      <c r="E119" s="6" t="str">
        <f>'📋 ORDERS'!H115</f>
        <v>ROLL BEARING 31315 FAG</v>
      </c>
      <c r="F119" s="7">
        <f>'📋 ORDERS'!I115</f>
        <v>46077</v>
      </c>
      <c r="G119" s="7">
        <v>46181</v>
      </c>
      <c r="H119" s="8">
        <f>'📋 ORDERS'!L115</f>
        <v>4</v>
      </c>
    </row>
    <row r="120" spans="2:8" ht="15.75" customHeight="1" x14ac:dyDescent="0.35">
      <c r="B120" s="3">
        <f>'📋 ORDERS'!E116</f>
        <v>4300035558</v>
      </c>
      <c r="C120" s="3">
        <f>'📋 ORDERS'!F116</f>
        <v>15125827</v>
      </c>
      <c r="D120" s="3" t="str">
        <f>'📋 ORDERS'!G116</f>
        <v>SNL 520-617</v>
      </c>
      <c r="E120" s="3" t="str">
        <f>'📋 ORDERS'!H116</f>
        <v>PILLOW BLOCK CI 90MM</v>
      </c>
      <c r="F120" s="4">
        <f>'📋 ORDERS'!I116</f>
        <v>46077</v>
      </c>
      <c r="G120" s="4">
        <v>46181</v>
      </c>
      <c r="H120" s="5">
        <f>'📋 ORDERS'!L116</f>
        <v>4</v>
      </c>
    </row>
    <row r="121" spans="2:8" ht="15.75" customHeight="1" x14ac:dyDescent="0.35">
      <c r="B121" s="6">
        <f>'📋 ORDERS'!E117</f>
        <v>4300037783</v>
      </c>
      <c r="C121" s="6">
        <f>'📋 ORDERS'!F117</f>
        <v>15056773</v>
      </c>
      <c r="D121" s="6" t="str">
        <f>'📋 ORDERS'!G117</f>
        <v>32230</v>
      </c>
      <c r="E121" s="6" t="str">
        <f>'📋 ORDERS'!H117</f>
        <v>BEARING;TAPERED ROLLER;32230JR;KOYO</v>
      </c>
      <c r="F121" s="7">
        <f>'📋 ORDERS'!I117</f>
        <v>46154</v>
      </c>
      <c r="G121" s="7">
        <v>46240</v>
      </c>
      <c r="H121" s="8">
        <f>'📋 ORDERS'!L117</f>
        <v>2</v>
      </c>
    </row>
    <row r="122" spans="2:8" ht="15.75" customHeight="1" x14ac:dyDescent="0.35">
      <c r="B122" s="3">
        <f>'📋 ORDERS'!E118</f>
        <v>4300037783</v>
      </c>
      <c r="C122" s="3">
        <f>'📋 ORDERS'!F118</f>
        <v>15374646</v>
      </c>
      <c r="D122" s="3" t="str">
        <f>'📋 ORDERS'!G118</f>
        <v>31310/CL7C</v>
      </c>
      <c r="E122" s="3" t="str">
        <f>'📋 ORDERS'!H118</f>
        <v>ROLL BEARING 31310 J2 Q CL7C SKF</v>
      </c>
      <c r="F122" s="4">
        <f>'📋 ORDERS'!I118</f>
        <v>46154</v>
      </c>
      <c r="G122" s="4">
        <v>46240</v>
      </c>
      <c r="H122" s="5">
        <f>'📋 ORDERS'!L118</f>
        <v>6</v>
      </c>
    </row>
    <row r="123" spans="2:8" ht="15.75" customHeight="1" x14ac:dyDescent="0.35">
      <c r="B123" s="6">
        <f>'📋 ORDERS'!E119</f>
        <v>4300037783</v>
      </c>
      <c r="C123" s="6">
        <f>'📋 ORDERS'!F119</f>
        <v>15374646</v>
      </c>
      <c r="D123" s="6" t="str">
        <f>'📋 ORDERS'!G119</f>
        <v>31310/CL7C</v>
      </c>
      <c r="E123" s="6" t="str">
        <f>'📋 ORDERS'!H119</f>
        <v>ROLL BEARING 31310 J2 Q CL7C SKF</v>
      </c>
      <c r="F123" s="7">
        <f>'📋 ORDERS'!I119</f>
        <v>46154</v>
      </c>
      <c r="G123" s="7">
        <v>46240</v>
      </c>
      <c r="H123" s="8">
        <f>'📋 ORDERS'!L119</f>
        <v>6</v>
      </c>
    </row>
    <row r="124" spans="2:8" ht="15.75" customHeight="1" x14ac:dyDescent="0.35">
      <c r="B124" s="3">
        <f>'📋 ORDERS'!E120</f>
        <v>4300037223</v>
      </c>
      <c r="C124" s="3">
        <f>'📋 ORDERS'!F120</f>
        <v>15003876</v>
      </c>
      <c r="D124" s="3" t="str">
        <f>'📋 ORDERS'!G120</f>
        <v>2217 K</v>
      </c>
      <c r="E124" s="3" t="str">
        <f>'📋 ORDERS'!H120</f>
        <v>BALL BRNG 2217 K SKF</v>
      </c>
      <c r="F124" s="4">
        <f>'📋 ORDERS'!I120</f>
        <v>46154</v>
      </c>
      <c r="G124" s="4">
        <v>46240</v>
      </c>
      <c r="H124" s="5">
        <f>'📋 ORDERS'!L120</f>
        <v>1</v>
      </c>
    </row>
    <row r="125" spans="2:8" ht="15.75" customHeight="1" x14ac:dyDescent="0.35">
      <c r="B125" s="6">
        <f>'📋 ORDERS'!E121</f>
        <v>4300037223</v>
      </c>
      <c r="C125" s="6">
        <f>'📋 ORDERS'!F121</f>
        <v>15383260</v>
      </c>
      <c r="D125" s="6" t="str">
        <f>'📋 ORDERS'!G121</f>
        <v>NU 234 ECM/C3</v>
      </c>
      <c r="E125" s="6" t="str">
        <f>'📋 ORDERS'!H121</f>
        <v>CL RL BRG NU 234 M C3 SKF</v>
      </c>
      <c r="F125" s="7">
        <f>'📋 ORDERS'!I121</f>
        <v>46154</v>
      </c>
      <c r="G125" s="7">
        <v>46240</v>
      </c>
      <c r="H125" s="8">
        <f>'📋 ORDERS'!L121</f>
        <v>5</v>
      </c>
    </row>
    <row r="126" spans="2:8" ht="15.75" customHeight="1" x14ac:dyDescent="0.35">
      <c r="B126" s="3">
        <f>'📋 ORDERS'!E122</f>
        <v>4300037223</v>
      </c>
      <c r="C126" s="3">
        <f>'📋 ORDERS'!F122</f>
        <v>15055683</v>
      </c>
      <c r="D126" s="3" t="str">
        <f>'📋 ORDERS'!G122</f>
        <v>22240 CC/W33</v>
      </c>
      <c r="E126" s="3" t="str">
        <f>'📋 ORDERS'!H122</f>
        <v>BEARING 22240 CC/W33 SKF</v>
      </c>
      <c r="F126" s="4">
        <f>'📋 ORDERS'!I122</f>
        <v>46154</v>
      </c>
      <c r="G126" s="4">
        <v>46240</v>
      </c>
      <c r="H126" s="5">
        <f>'📋 ORDERS'!L122</f>
        <v>8</v>
      </c>
    </row>
    <row r="127" spans="2:8" ht="15.75" customHeight="1" x14ac:dyDescent="0.35">
      <c r="B127" s="6">
        <f>'📋 ORDERS'!E123</f>
        <v>4300037223</v>
      </c>
      <c r="C127" s="6">
        <f>'📋 ORDERS'!F123</f>
        <v>15501296</v>
      </c>
      <c r="D127" s="6" t="str">
        <f>'📋 ORDERS'!G123</f>
        <v>COP.01EB125MGR</v>
      </c>
      <c r="E127" s="6" t="str">
        <f>'📋 ORDERS'!H123</f>
        <v>CYL ROLL BRG 01 B 125M GR COOPER</v>
      </c>
      <c r="F127" s="7">
        <f>'📋 ORDERS'!I123</f>
        <v>46154</v>
      </c>
      <c r="G127" s="7">
        <v>46240</v>
      </c>
      <c r="H127" s="8">
        <f>'📋 ORDERS'!L123</f>
        <v>1</v>
      </c>
    </row>
    <row r="128" spans="2:8" ht="15.75" customHeight="1" x14ac:dyDescent="0.35">
      <c r="B128" s="3">
        <f>'📋 ORDERS'!E124</f>
        <v>4300037815</v>
      </c>
      <c r="C128" s="3">
        <f>'📋 ORDERS'!F124</f>
        <v>15419258</v>
      </c>
      <c r="D128" s="3" t="str">
        <f>'📋 ORDERS'!G124</f>
        <v>H 3140</v>
      </c>
      <c r="E128" s="3" t="str">
        <f>'📋 ORDERS'!H124</f>
        <v>BRG BUSHING FIXAT 180MM H 3140 SKF</v>
      </c>
      <c r="F128" s="4">
        <f>'📋 ORDERS'!I124</f>
        <v>46154</v>
      </c>
      <c r="G128" s="4">
        <v>46240</v>
      </c>
      <c r="H128" s="5">
        <f>'📋 ORDERS'!L124</f>
        <v>2</v>
      </c>
    </row>
    <row r="129" spans="2:8" ht="15.75" customHeight="1" x14ac:dyDescent="0.35">
      <c r="B129" s="6">
        <f>'📋 ORDERS'!E125</f>
        <v>4300037815</v>
      </c>
      <c r="C129" s="6">
        <f>'📋 ORDERS'!F125</f>
        <v>17510662</v>
      </c>
      <c r="D129" s="6" t="str">
        <f>'📋 ORDERS'!G125</f>
        <v>70X90X10 HMSA10 RG</v>
      </c>
      <c r="E129" s="6" t="str">
        <f>'📋 ORDERS'!H125</f>
        <v>NBR SEAL RETAINER 70MM 90MM</v>
      </c>
      <c r="F129" s="7">
        <f>'📋 ORDERS'!I125</f>
        <v>46154</v>
      </c>
      <c r="G129" s="7">
        <v>46240</v>
      </c>
      <c r="H129" s="8">
        <f>'📋 ORDERS'!L125</f>
        <v>12</v>
      </c>
    </row>
    <row r="130" spans="2:8" ht="15.75" customHeight="1" x14ac:dyDescent="0.35">
      <c r="B130" s="3">
        <f>'📋 ORDERS'!E126</f>
        <v>4300037815</v>
      </c>
      <c r="C130" s="3">
        <f>'📋 ORDERS'!F126</f>
        <v>15722015</v>
      </c>
      <c r="D130" s="3" t="str">
        <f>'📋 ORDERS'!G126</f>
        <v>32311</v>
      </c>
      <c r="E130" s="3" t="str">
        <f>'📋 ORDERS'!H126</f>
        <v>ROLL BEARING 32311 SKF</v>
      </c>
      <c r="F130" s="4">
        <f>'📋 ORDERS'!I126</f>
        <v>46154</v>
      </c>
      <c r="G130" s="4">
        <v>46240</v>
      </c>
      <c r="H130" s="5">
        <f>'📋 ORDERS'!L126</f>
        <v>6</v>
      </c>
    </row>
    <row r="131" spans="2:8" ht="15.75" customHeight="1" x14ac:dyDescent="0.35">
      <c r="B131" s="6">
        <f>'📋 ORDERS'!E127</f>
        <v>4300037815</v>
      </c>
      <c r="C131" s="6">
        <f>'📋 ORDERS'!F127</f>
        <v>13065480</v>
      </c>
      <c r="D131" s="6" t="str">
        <f>'📋 ORDERS'!G127</f>
        <v>FRB 10/320</v>
      </c>
      <c r="E131" s="6" t="str">
        <f>'📋 ORDERS'!H127</f>
        <v>LOCATING RING FRB 10/320 SKF</v>
      </c>
      <c r="F131" s="7">
        <f>'📋 ORDERS'!I127</f>
        <v>46154</v>
      </c>
      <c r="G131" s="7">
        <v>46240</v>
      </c>
      <c r="H131" s="8">
        <f>'📋 ORDERS'!L127</f>
        <v>8</v>
      </c>
    </row>
    <row r="132" spans="2:8" ht="15.75" customHeight="1" x14ac:dyDescent="0.35">
      <c r="B132" s="3">
        <f>'📋 ORDERS'!E128</f>
        <v>0</v>
      </c>
      <c r="C132" s="3">
        <f>'📋 ORDERS'!F128</f>
        <v>0</v>
      </c>
      <c r="D132" s="3" t="str">
        <f>'📋 ORDERS'!G128</f>
        <v>QJ 228 N2MA</v>
      </c>
      <c r="E132" s="3" t="str">
        <f>'📋 ORDERS'!H128</f>
        <v>ANGULAR CONTACT BALL BEARING QJ 228 N2MA</v>
      </c>
      <c r="F132" s="4">
        <f>'📋 ORDERS'!I128</f>
        <v>46129</v>
      </c>
      <c r="G132" s="4">
        <v>46219</v>
      </c>
      <c r="H132" s="5">
        <f>'📋 ORDERS'!L128</f>
        <v>2</v>
      </c>
    </row>
    <row r="133" spans="2:8" ht="15.75" customHeight="1" x14ac:dyDescent="0.35">
      <c r="B133" s="6">
        <f>'📋 ORDERS'!E129</f>
        <v>4300036955</v>
      </c>
      <c r="C133" s="6">
        <f>'📋 ORDERS'!F129</f>
        <v>15004591</v>
      </c>
      <c r="D133" s="6" t="str">
        <f>'📋 ORDERS'!G129</f>
        <v>22328 CCJA/W33VA405</v>
      </c>
      <c r="E133" s="6" t="str">
        <f>'📋 ORDERS'!H129</f>
        <v>BEARING 22328 CC JA C4 W33 VA405 SKF</v>
      </c>
      <c r="F133" s="7">
        <f>'📋 ORDERS'!I129</f>
        <v>46121</v>
      </c>
      <c r="G133" s="7">
        <v>46219</v>
      </c>
      <c r="H133" s="8">
        <f>'📋 ORDERS'!L129</f>
        <v>37</v>
      </c>
    </row>
    <row r="134" spans="2:8" ht="15.75" customHeight="1" x14ac:dyDescent="0.35">
      <c r="B134" s="3">
        <f>'📋 ORDERS'!E130</f>
        <v>4300036955</v>
      </c>
      <c r="C134" s="3">
        <f>'📋 ORDERS'!F130</f>
        <v>15004591</v>
      </c>
      <c r="D134" s="3" t="str">
        <f>'📋 ORDERS'!G130</f>
        <v>22328 CCJA/W33VA405</v>
      </c>
      <c r="E134" s="3" t="str">
        <f>'📋 ORDERS'!H130</f>
        <v>BEARING 22328 CC JA C4 W33 VA405 SKF</v>
      </c>
      <c r="F134" s="4">
        <f>'📋 ORDERS'!I130</f>
        <v>46121</v>
      </c>
      <c r="G134" s="4">
        <v>46219</v>
      </c>
      <c r="H134" s="5">
        <f>'📋 ORDERS'!L130</f>
        <v>33</v>
      </c>
    </row>
    <row r="135" spans="2:8" ht="15.75" customHeight="1" x14ac:dyDescent="0.35">
      <c r="B135" s="6">
        <f>'📋 ORDERS'!E131</f>
        <v>4300036955</v>
      </c>
      <c r="C135" s="6">
        <f>'📋 ORDERS'!F131</f>
        <v>13188470</v>
      </c>
      <c r="D135" s="6" t="str">
        <f>'📋 ORDERS'!G131</f>
        <v>COP.01EB140MGR</v>
      </c>
      <c r="E135" s="6" t="str">
        <f>'📋 ORDERS'!H131</f>
        <v>CL RL BRG 01 B 140M GR COOPER BEARINGS</v>
      </c>
      <c r="F135" s="7">
        <f>'📋 ORDERS'!I131</f>
        <v>46121</v>
      </c>
      <c r="G135" s="7">
        <v>46219</v>
      </c>
      <c r="H135" s="8">
        <f>'📋 ORDERS'!L131</f>
        <v>2</v>
      </c>
    </row>
    <row r="136" spans="2:8" ht="15.75" customHeight="1" x14ac:dyDescent="0.35">
      <c r="B136" s="3">
        <f>'📋 ORDERS'!E132</f>
        <v>4300034374</v>
      </c>
      <c r="C136" s="3">
        <f>'📋 ORDERS'!F132</f>
        <v>15056773</v>
      </c>
      <c r="D136" s="3" t="str">
        <f>'📋 ORDERS'!G132</f>
        <v>32230</v>
      </c>
      <c r="E136" s="3" t="str">
        <f>'📋 ORDERS'!H132</f>
        <v>BEARING;TAPERED ROLLER;32230JR;KOYO</v>
      </c>
      <c r="F136" s="4">
        <f>'📋 ORDERS'!I132</f>
        <v>46113</v>
      </c>
      <c r="G136" s="4">
        <v>46198</v>
      </c>
      <c r="H136" s="5">
        <f>'📋 ORDERS'!L132</f>
        <v>10</v>
      </c>
    </row>
    <row r="137" spans="2:8" ht="15.75" customHeight="1" x14ac:dyDescent="0.35">
      <c r="B137" s="6">
        <f>'📋 ORDERS'!E133</f>
        <v>4300038547</v>
      </c>
      <c r="C137" s="6">
        <f>'📋 ORDERS'!F133</f>
        <v>17563131</v>
      </c>
      <c r="D137" s="6" t="str">
        <f>'📋 ORDERS'!G133</f>
        <v>CMSS 943-LCI-SY-20M</v>
      </c>
      <c r="E137" s="6" t="str">
        <f>'📋 ORDERS'!H133</f>
        <v>CABLE ASSEMBLY; CMSS 943-LCI-SY-20M; SKF</v>
      </c>
      <c r="F137" s="7">
        <f>'📋 ORDERS'!I133</f>
        <v>46163</v>
      </c>
      <c r="G137" s="7">
        <v>46204</v>
      </c>
      <c r="H137" s="8">
        <f>'📋 ORDERS'!L133</f>
        <v>20</v>
      </c>
    </row>
    <row r="138" spans="2:8" ht="15.75" customHeight="1" x14ac:dyDescent="0.35">
      <c r="B138" s="3">
        <f>'📋 ORDERS'!E134</f>
        <v>4300038547</v>
      </c>
      <c r="C138" s="3">
        <f>'📋 ORDERS'!F134</f>
        <v>17563129</v>
      </c>
      <c r="D138" s="3" t="str">
        <f>'📋 ORDERS'!G134</f>
        <v>CMSS 942-LCI-SY-20M</v>
      </c>
      <c r="E138" s="3" t="str">
        <f>'📋 ORDERS'!H134</f>
        <v>CABLE ASSEMBLY; CMSS 942-LCT-SY-20M; SKF</v>
      </c>
      <c r="F138" s="4">
        <f>'📋 ORDERS'!I134</f>
        <v>46163</v>
      </c>
      <c r="G138" s="4">
        <v>46206</v>
      </c>
      <c r="H138" s="5">
        <f>'📋 ORDERS'!L134</f>
        <v>50</v>
      </c>
    </row>
    <row r="139" spans="2:8" ht="15.75" customHeight="1" x14ac:dyDescent="0.35">
      <c r="B139" s="6">
        <f>'📋 ORDERS'!E135</f>
        <v>4300037783</v>
      </c>
      <c r="C139" s="6">
        <f>'📋 ORDERS'!F135</f>
        <v>15055680</v>
      </c>
      <c r="D139" s="6" t="str">
        <f>'📋 ORDERS'!G135</f>
        <v>22226 EK/C3</v>
      </c>
      <c r="E139" s="6" t="str">
        <f>'📋 ORDERS'!H135</f>
        <v>BEARING 22226 CCK W33 SKF</v>
      </c>
      <c r="F139" s="7">
        <f>'📋 ORDERS'!I135</f>
        <v>46154</v>
      </c>
      <c r="G139" s="7">
        <v>46240</v>
      </c>
      <c r="H139" s="8">
        <f>'📋 ORDERS'!L135</f>
        <v>15</v>
      </c>
    </row>
    <row r="140" spans="2:8" ht="15.75" customHeight="1" x14ac:dyDescent="0.35">
      <c r="B140" s="3">
        <f>'📋 ORDERS'!E136</f>
        <v>4300037783</v>
      </c>
      <c r="C140" s="3">
        <f>'📋 ORDERS'!F136</f>
        <v>15153017</v>
      </c>
      <c r="D140" s="3" t="str">
        <f>'📋 ORDERS'!G136</f>
        <v>6316/C3</v>
      </c>
      <c r="E140" s="3" t="str">
        <f>'📋 ORDERS'!H136</f>
        <v>BEARING 6316-C3;FRAME 250S/M;WEG</v>
      </c>
      <c r="F140" s="4">
        <f>'📋 ORDERS'!I136</f>
        <v>46154</v>
      </c>
      <c r="G140" s="4">
        <v>46240</v>
      </c>
      <c r="H140" s="5">
        <f>'📋 ORDERS'!L136</f>
        <v>1</v>
      </c>
    </row>
    <row r="141" spans="2:8" ht="15.75" customHeight="1" x14ac:dyDescent="0.35">
      <c r="B141" s="6">
        <f>'📋 ORDERS'!E137</f>
        <v>4300037783</v>
      </c>
      <c r="C141" s="6">
        <f>'📋 ORDERS'!F137</f>
        <v>15056773</v>
      </c>
      <c r="D141" s="6" t="str">
        <f>'📋 ORDERS'!G137</f>
        <v>32230</v>
      </c>
      <c r="E141" s="6" t="str">
        <f>'📋 ORDERS'!H137</f>
        <v>BEARING;TAPERED ROLLER;32230JR;KOYO</v>
      </c>
      <c r="F141" s="7">
        <f>'📋 ORDERS'!I137</f>
        <v>46154</v>
      </c>
      <c r="G141" s="7">
        <v>46240</v>
      </c>
      <c r="H141" s="8">
        <f>'📋 ORDERS'!L137</f>
        <v>10</v>
      </c>
    </row>
    <row r="142" spans="2:8" ht="15.75" customHeight="1" x14ac:dyDescent="0.35">
      <c r="B142" s="3">
        <f>'📋 ORDERS'!E138</f>
        <v>4300037783</v>
      </c>
      <c r="C142" s="3">
        <f>'📋 ORDERS'!F138</f>
        <v>15153017</v>
      </c>
      <c r="D142" s="3" t="str">
        <f>'📋 ORDERS'!G138</f>
        <v>6316/C3</v>
      </c>
      <c r="E142" s="3" t="str">
        <f>'📋 ORDERS'!H138</f>
        <v>BEARING 6316-C3;FRAME 250S/M;WEG</v>
      </c>
      <c r="F142" s="4">
        <f>'📋 ORDERS'!I138</f>
        <v>46154</v>
      </c>
      <c r="G142" s="4">
        <v>46240</v>
      </c>
      <c r="H142" s="5">
        <f>'📋 ORDERS'!L138</f>
        <v>2</v>
      </c>
    </row>
  </sheetData>
  <autoFilter ref="B7:H142" xr:uid="{00000000-0009-0000-0000-000000000000}"/>
  <mergeCells count="5">
    <mergeCell ref="B2:B5"/>
    <mergeCell ref="C2:F4"/>
    <mergeCell ref="G2:H5"/>
    <mergeCell ref="C5:F5"/>
    <mergeCell ref="B6:H6"/>
  </mergeCells>
  <pageMargins left="0.51180555555555596" right="0.51180555555555596" top="0.62986111111111098" bottom="0.70833333333333304" header="0.511811023622047" footer="0.511811023622047"/>
  <pageSetup paperSize="9" scale="71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AA175"/>
  <sheetViews>
    <sheetView showGridLines="0" tabSelected="1" zoomScale="90" zoomScaleNormal="90" workbookViewId="0">
      <pane ySplit="3" topLeftCell="A4" activePane="bottomLeft" state="frozen"/>
      <selection activeCell="I1" sqref="I1"/>
      <selection pane="bottomLeft" activeCell="H103" sqref="H103"/>
    </sheetView>
  </sheetViews>
  <sheetFormatPr defaultColWidth="8.6328125" defaultRowHeight="14.5" x14ac:dyDescent="0.35"/>
  <cols>
    <col min="1" max="1" width="0.90625" customWidth="1"/>
    <col min="2" max="2" width="10" customWidth="1"/>
    <col min="3" max="3" width="11.90625" customWidth="1"/>
    <col min="4" max="4" width="11.6328125" customWidth="1"/>
    <col min="5" max="5" width="14" customWidth="1"/>
    <col min="6" max="6" width="10.1796875" customWidth="1"/>
    <col min="7" max="7" width="21.81640625" customWidth="1"/>
    <col min="8" max="8" width="41.08984375" bestFit="1" customWidth="1"/>
    <col min="9" max="9" width="12" customWidth="1"/>
    <col min="10" max="10" width="13" customWidth="1"/>
    <col min="11" max="14" width="9" customWidth="1"/>
    <col min="15" max="16" width="13" customWidth="1"/>
    <col min="17" max="17" width="11" customWidth="1"/>
    <col min="18" max="18" width="22" customWidth="1"/>
    <col min="19" max="20" width="10" customWidth="1"/>
    <col min="21" max="22" width="14" customWidth="1"/>
    <col min="23" max="24" width="13" customWidth="1"/>
    <col min="25" max="25" width="12" customWidth="1"/>
    <col min="26" max="26" width="13.90625" customWidth="1"/>
    <col min="27" max="27" width="60.26953125" bestFit="1" customWidth="1"/>
  </cols>
  <sheetData>
    <row r="1" spans="2:27" ht="36" customHeight="1" x14ac:dyDescent="0.35">
      <c r="B1" s="197" t="s">
        <v>1</v>
      </c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</row>
    <row r="2" spans="2:27" ht="18" hidden="1" customHeight="1" x14ac:dyDescent="0.35">
      <c r="B2" s="198" t="s">
        <v>9</v>
      </c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</row>
    <row r="3" spans="2:27" ht="31.5" customHeight="1" x14ac:dyDescent="0.35">
      <c r="B3" s="2" t="s">
        <v>10</v>
      </c>
      <c r="C3" s="2" t="s">
        <v>11</v>
      </c>
      <c r="D3" s="2" t="s">
        <v>12</v>
      </c>
      <c r="E3" s="2" t="s">
        <v>2</v>
      </c>
      <c r="F3" s="2" t="s">
        <v>13</v>
      </c>
      <c r="G3" s="2" t="s">
        <v>14</v>
      </c>
      <c r="H3" s="2" t="s">
        <v>15</v>
      </c>
      <c r="I3" s="2" t="s">
        <v>5</v>
      </c>
      <c r="J3" s="2" t="s">
        <v>16</v>
      </c>
      <c r="K3" s="2" t="s">
        <v>17</v>
      </c>
      <c r="L3" s="2" t="s">
        <v>7</v>
      </c>
      <c r="M3" s="2" t="s">
        <v>18</v>
      </c>
      <c r="N3" s="9" t="s">
        <v>19</v>
      </c>
      <c r="O3" s="2" t="s">
        <v>20</v>
      </c>
      <c r="P3" s="9" t="s">
        <v>21</v>
      </c>
      <c r="Q3" s="2" t="s">
        <v>22</v>
      </c>
      <c r="R3" s="2" t="s">
        <v>23</v>
      </c>
      <c r="S3" s="9" t="s">
        <v>24</v>
      </c>
      <c r="T3" s="9" t="s">
        <v>25</v>
      </c>
      <c r="U3" s="9" t="s">
        <v>26</v>
      </c>
      <c r="V3" s="9" t="s">
        <v>27</v>
      </c>
      <c r="W3" s="2" t="s">
        <v>28</v>
      </c>
      <c r="X3" s="10" t="s">
        <v>29</v>
      </c>
      <c r="Y3" s="10" t="s">
        <v>30</v>
      </c>
      <c r="Z3" s="10" t="s">
        <v>31</v>
      </c>
      <c r="AA3" s="10" t="s">
        <v>32</v>
      </c>
    </row>
    <row r="4" spans="2:27" ht="15.75" customHeight="1" x14ac:dyDescent="0.35">
      <c r="B4" s="11" t="s">
        <v>33</v>
      </c>
      <c r="C4" s="12" t="s">
        <v>34</v>
      </c>
      <c r="D4" s="3">
        <v>252911949</v>
      </c>
      <c r="E4" s="3">
        <v>4300034814</v>
      </c>
      <c r="F4" s="3">
        <v>15643491</v>
      </c>
      <c r="G4" s="3" t="s">
        <v>35</v>
      </c>
      <c r="H4" s="3" t="s">
        <v>36</v>
      </c>
      <c r="I4" s="4">
        <v>46057</v>
      </c>
      <c r="J4" s="4">
        <v>46127</v>
      </c>
      <c r="K4" s="11" t="s">
        <v>37</v>
      </c>
      <c r="L4" s="5">
        <v>4</v>
      </c>
      <c r="M4" s="5">
        <v>4</v>
      </c>
      <c r="N4" s="13">
        <f t="shared" ref="N4:N35" si="0">IF(L4=0,0,M4/L4)</f>
        <v>1</v>
      </c>
      <c r="O4" s="14">
        <v>113.78</v>
      </c>
      <c r="P4" s="15">
        <f t="shared" ref="P4:P35" si="1">L4*O4</f>
        <v>455.12</v>
      </c>
      <c r="Q4" s="11">
        <v>12568</v>
      </c>
      <c r="R4" s="16" t="s">
        <v>38</v>
      </c>
      <c r="S4" s="17" t="str">
        <f t="shared" ref="S4:S35" si="2">IF(Y4="✔","✔ OK",IF(OR(J4="",J4=0),"TBA",INT(J4-I4)))</f>
        <v>✔ OK</v>
      </c>
      <c r="T4" s="17" t="str">
        <f t="shared" ref="T4:T35" si="3">IF(I4="","",TEXT(MONTH(I4),"00")&amp;"/"&amp;YEAR(I4))</f>
        <v>02/2026</v>
      </c>
      <c r="U4" s="17" t="str">
        <f t="shared" ref="U4:U35" si="4">IF(Y4="✔","OK",IF(OR(J4="",J4=0),"",TEXT(MONTH(J4+20),"00")&amp;"/"&amp;TEXT(YEAR(J4+20),"0000")))</f>
        <v>OK</v>
      </c>
      <c r="V4" s="18">
        <f t="shared" ref="V4:V35" si="5">L4-M4</f>
        <v>0</v>
      </c>
      <c r="W4" s="11" t="s">
        <v>39</v>
      </c>
      <c r="X4" s="19">
        <v>46163</v>
      </c>
      <c r="Y4" s="20" t="s">
        <v>40</v>
      </c>
      <c r="Z4" s="19">
        <v>46181</v>
      </c>
      <c r="AA4" s="21"/>
    </row>
    <row r="5" spans="2:27" ht="15.75" customHeight="1" x14ac:dyDescent="0.35">
      <c r="B5" s="22" t="s">
        <v>41</v>
      </c>
      <c r="C5" s="23" t="s">
        <v>34</v>
      </c>
      <c r="D5" s="23" t="s">
        <v>42</v>
      </c>
      <c r="E5" s="23">
        <v>4300034814</v>
      </c>
      <c r="F5" s="23">
        <v>13040369</v>
      </c>
      <c r="G5" s="23" t="s">
        <v>43</v>
      </c>
      <c r="H5" s="23" t="s">
        <v>44</v>
      </c>
      <c r="I5" s="24">
        <v>46057</v>
      </c>
      <c r="J5" s="24">
        <v>46155</v>
      </c>
      <c r="K5" s="22" t="s">
        <v>37</v>
      </c>
      <c r="L5" s="25">
        <v>2</v>
      </c>
      <c r="M5" s="25">
        <v>2</v>
      </c>
      <c r="N5" s="26">
        <f t="shared" si="0"/>
        <v>1</v>
      </c>
      <c r="O5" s="27">
        <v>266.66000000000003</v>
      </c>
      <c r="P5" s="28">
        <f t="shared" si="1"/>
        <v>533.32000000000005</v>
      </c>
      <c r="Q5" s="22" t="s">
        <v>45</v>
      </c>
      <c r="R5" s="29" t="s">
        <v>38</v>
      </c>
      <c r="S5" s="30" t="str">
        <f t="shared" si="2"/>
        <v>✔ OK</v>
      </c>
      <c r="T5" s="30" t="str">
        <f t="shared" si="3"/>
        <v>02/2026</v>
      </c>
      <c r="U5" s="30" t="str">
        <f t="shared" si="4"/>
        <v>OK</v>
      </c>
      <c r="V5" s="31">
        <f t="shared" si="5"/>
        <v>0</v>
      </c>
      <c r="W5" s="22" t="s">
        <v>39</v>
      </c>
      <c r="X5" s="32">
        <v>46163</v>
      </c>
      <c r="Y5" s="33" t="s">
        <v>40</v>
      </c>
      <c r="Z5" s="32">
        <v>46181</v>
      </c>
      <c r="AA5" s="34"/>
    </row>
    <row r="6" spans="2:27" ht="15.75" customHeight="1" x14ac:dyDescent="0.35">
      <c r="B6" s="11" t="s">
        <v>46</v>
      </c>
      <c r="C6" s="3" t="s">
        <v>34</v>
      </c>
      <c r="D6" s="3" t="s">
        <v>42</v>
      </c>
      <c r="E6" s="3">
        <v>4300034814</v>
      </c>
      <c r="F6" s="3">
        <v>15153568</v>
      </c>
      <c r="G6" s="3" t="s">
        <v>47</v>
      </c>
      <c r="H6" s="3" t="s">
        <v>48</v>
      </c>
      <c r="I6" s="4">
        <v>46057</v>
      </c>
      <c r="J6" s="4">
        <v>46169</v>
      </c>
      <c r="K6" s="11" t="s">
        <v>37</v>
      </c>
      <c r="L6" s="5">
        <v>2</v>
      </c>
      <c r="M6" s="5">
        <v>2</v>
      </c>
      <c r="N6" s="13">
        <f t="shared" si="0"/>
        <v>1</v>
      </c>
      <c r="O6" s="14">
        <v>2441.75</v>
      </c>
      <c r="P6" s="15">
        <f t="shared" si="1"/>
        <v>4883.5</v>
      </c>
      <c r="Q6" s="11" t="s">
        <v>49</v>
      </c>
      <c r="R6" s="16" t="s">
        <v>38</v>
      </c>
      <c r="S6" s="17" t="str">
        <f t="shared" si="2"/>
        <v>✔ OK</v>
      </c>
      <c r="T6" s="17" t="str">
        <f t="shared" si="3"/>
        <v>02/2026</v>
      </c>
      <c r="U6" s="17" t="str">
        <f t="shared" si="4"/>
        <v>OK</v>
      </c>
      <c r="V6" s="18">
        <f t="shared" si="5"/>
        <v>0</v>
      </c>
      <c r="W6" s="11" t="s">
        <v>39</v>
      </c>
      <c r="X6" s="19">
        <v>46163</v>
      </c>
      <c r="Y6" s="20" t="s">
        <v>40</v>
      </c>
      <c r="Z6" s="19">
        <v>46184</v>
      </c>
      <c r="AA6" s="34"/>
    </row>
    <row r="7" spans="2:27" ht="15.75" customHeight="1" x14ac:dyDescent="0.35">
      <c r="B7" s="22" t="s">
        <v>50</v>
      </c>
      <c r="C7" s="23" t="s">
        <v>51</v>
      </c>
      <c r="D7" s="23" t="s">
        <v>52</v>
      </c>
      <c r="E7" s="23"/>
      <c r="F7" s="23">
        <v>15002466</v>
      </c>
      <c r="G7" s="35" t="s">
        <v>53</v>
      </c>
      <c r="H7" s="35" t="s">
        <v>54</v>
      </c>
      <c r="I7" s="24">
        <v>46056</v>
      </c>
      <c r="J7" s="24">
        <v>46155</v>
      </c>
      <c r="K7" s="22" t="s">
        <v>37</v>
      </c>
      <c r="L7" s="25">
        <v>2</v>
      </c>
      <c r="M7" s="25">
        <v>2</v>
      </c>
      <c r="N7" s="26">
        <f t="shared" si="0"/>
        <v>1</v>
      </c>
      <c r="O7" s="27">
        <v>915.85</v>
      </c>
      <c r="P7" s="28">
        <f t="shared" si="1"/>
        <v>1831.7</v>
      </c>
      <c r="Q7" s="22">
        <v>12612</v>
      </c>
      <c r="R7" s="29" t="s">
        <v>38</v>
      </c>
      <c r="S7" s="30">
        <f t="shared" si="2"/>
        <v>99</v>
      </c>
      <c r="T7" s="30" t="str">
        <f t="shared" si="3"/>
        <v>02/2026</v>
      </c>
      <c r="U7" s="30" t="str">
        <f t="shared" si="4"/>
        <v>06/2026</v>
      </c>
      <c r="V7" s="31">
        <f t="shared" si="5"/>
        <v>0</v>
      </c>
      <c r="W7" s="22" t="s">
        <v>39</v>
      </c>
      <c r="X7" s="32">
        <v>46163</v>
      </c>
      <c r="Y7" s="33" t="s">
        <v>491</v>
      </c>
      <c r="Z7" s="32"/>
      <c r="AA7" s="34" t="s">
        <v>56</v>
      </c>
    </row>
    <row r="8" spans="2:27" ht="15.75" customHeight="1" x14ac:dyDescent="0.35">
      <c r="B8" s="11" t="s">
        <v>50</v>
      </c>
      <c r="C8" s="3" t="s">
        <v>57</v>
      </c>
      <c r="D8" s="3" t="s">
        <v>58</v>
      </c>
      <c r="E8" s="3">
        <v>4300033496</v>
      </c>
      <c r="F8" s="3">
        <v>15501296</v>
      </c>
      <c r="G8" s="3" t="s">
        <v>59</v>
      </c>
      <c r="H8" s="3" t="s">
        <v>60</v>
      </c>
      <c r="I8" s="4">
        <v>46014</v>
      </c>
      <c r="J8" s="4">
        <v>46085</v>
      </c>
      <c r="K8" s="11" t="s">
        <v>37</v>
      </c>
      <c r="L8" s="5">
        <v>1</v>
      </c>
      <c r="M8" s="5">
        <v>1</v>
      </c>
      <c r="N8" s="13">
        <f t="shared" si="0"/>
        <v>1</v>
      </c>
      <c r="O8" s="14">
        <v>1048.8800000000001</v>
      </c>
      <c r="P8" s="15">
        <f t="shared" si="1"/>
        <v>1048.8800000000001</v>
      </c>
      <c r="Q8" s="11" t="s">
        <v>61</v>
      </c>
      <c r="R8" s="16" t="s">
        <v>38</v>
      </c>
      <c r="S8" s="17" t="str">
        <f t="shared" si="2"/>
        <v>✔ OK</v>
      </c>
      <c r="T8" s="17" t="str">
        <f t="shared" si="3"/>
        <v>12/2025</v>
      </c>
      <c r="U8" s="17" t="str">
        <f t="shared" si="4"/>
        <v>OK</v>
      </c>
      <c r="V8" s="18">
        <f t="shared" si="5"/>
        <v>0</v>
      </c>
      <c r="W8" s="11" t="s">
        <v>39</v>
      </c>
      <c r="X8" s="19">
        <v>46128</v>
      </c>
      <c r="Y8" s="20" t="s">
        <v>40</v>
      </c>
      <c r="Z8" s="19">
        <v>46191</v>
      </c>
      <c r="AA8" s="21"/>
    </row>
    <row r="9" spans="2:27" ht="15.75" customHeight="1" x14ac:dyDescent="0.35">
      <c r="B9" s="22" t="s">
        <v>41</v>
      </c>
      <c r="C9" s="23" t="s">
        <v>57</v>
      </c>
      <c r="D9" s="23" t="s">
        <v>58</v>
      </c>
      <c r="E9" s="23">
        <v>4300033496</v>
      </c>
      <c r="F9" s="23">
        <v>13188279</v>
      </c>
      <c r="G9" s="23" t="s">
        <v>47</v>
      </c>
      <c r="H9" s="35" t="s">
        <v>62</v>
      </c>
      <c r="I9" s="24">
        <v>46014</v>
      </c>
      <c r="J9" s="24">
        <v>46120</v>
      </c>
      <c r="K9" s="22" t="s">
        <v>37</v>
      </c>
      <c r="L9" s="25">
        <v>3</v>
      </c>
      <c r="M9" s="25">
        <v>3</v>
      </c>
      <c r="N9" s="26">
        <f t="shared" si="0"/>
        <v>1</v>
      </c>
      <c r="O9" s="27">
        <v>2441.75</v>
      </c>
      <c r="P9" s="28">
        <f t="shared" si="1"/>
        <v>7325.25</v>
      </c>
      <c r="Q9" s="22">
        <v>12452</v>
      </c>
      <c r="R9" s="29" t="s">
        <v>38</v>
      </c>
      <c r="S9" s="30" t="str">
        <f t="shared" si="2"/>
        <v>✔ OK</v>
      </c>
      <c r="T9" s="30" t="str">
        <f t="shared" si="3"/>
        <v>12/2025</v>
      </c>
      <c r="U9" s="30" t="str">
        <f t="shared" si="4"/>
        <v>OK</v>
      </c>
      <c r="V9" s="31">
        <f t="shared" si="5"/>
        <v>0</v>
      </c>
      <c r="W9" s="22" t="s">
        <v>39</v>
      </c>
      <c r="X9" s="32">
        <v>46128</v>
      </c>
      <c r="Y9" s="33" t="s">
        <v>40</v>
      </c>
      <c r="Z9" s="32">
        <v>46191</v>
      </c>
      <c r="AA9" s="34"/>
    </row>
    <row r="10" spans="2:27" ht="15.75" customHeight="1" x14ac:dyDescent="0.35">
      <c r="B10" s="11" t="s">
        <v>50</v>
      </c>
      <c r="C10" s="3" t="s">
        <v>63</v>
      </c>
      <c r="D10" s="3" t="s">
        <v>64</v>
      </c>
      <c r="E10" s="3"/>
      <c r="F10" s="3">
        <v>13188470</v>
      </c>
      <c r="G10" s="3" t="s">
        <v>65</v>
      </c>
      <c r="H10" s="12" t="s">
        <v>66</v>
      </c>
      <c r="I10" s="4">
        <v>46161</v>
      </c>
      <c r="J10" s="4">
        <v>46246</v>
      </c>
      <c r="K10" s="11" t="s">
        <v>37</v>
      </c>
      <c r="L10" s="5">
        <v>1</v>
      </c>
      <c r="M10" s="5">
        <v>1</v>
      </c>
      <c r="N10" s="13">
        <f t="shared" si="0"/>
        <v>1</v>
      </c>
      <c r="O10" s="14">
        <v>1437.72</v>
      </c>
      <c r="P10" s="15">
        <f t="shared" si="1"/>
        <v>1437.72</v>
      </c>
      <c r="Q10" s="11" t="s">
        <v>67</v>
      </c>
      <c r="R10" s="36" t="s">
        <v>68</v>
      </c>
      <c r="S10" s="17">
        <f t="shared" si="2"/>
        <v>85</v>
      </c>
      <c r="T10" s="17" t="str">
        <f t="shared" si="3"/>
        <v>05/2026</v>
      </c>
      <c r="U10" s="17" t="str">
        <f t="shared" si="4"/>
        <v>09/2026</v>
      </c>
      <c r="V10" s="18">
        <f t="shared" si="5"/>
        <v>0</v>
      </c>
      <c r="W10" s="11" t="s">
        <v>39</v>
      </c>
      <c r="X10" s="19"/>
      <c r="Y10" s="20" t="s">
        <v>55</v>
      </c>
      <c r="Z10" s="19"/>
      <c r="AA10" s="37" t="s">
        <v>69</v>
      </c>
    </row>
    <row r="11" spans="2:27" ht="15.75" customHeight="1" x14ac:dyDescent="0.35">
      <c r="B11" s="22" t="s">
        <v>41</v>
      </c>
      <c r="C11" s="23" t="s">
        <v>63</v>
      </c>
      <c r="D11" s="23" t="s">
        <v>64</v>
      </c>
      <c r="E11" s="23"/>
      <c r="F11" s="23">
        <v>13040555</v>
      </c>
      <c r="G11" s="23" t="s">
        <v>70</v>
      </c>
      <c r="H11" s="35" t="s">
        <v>71</v>
      </c>
      <c r="I11" s="24">
        <v>46161</v>
      </c>
      <c r="J11" s="24">
        <v>46253</v>
      </c>
      <c r="K11" s="22" t="s">
        <v>37</v>
      </c>
      <c r="L11" s="25">
        <v>5</v>
      </c>
      <c r="M11" s="25">
        <v>5</v>
      </c>
      <c r="N11" s="26">
        <f t="shared" si="0"/>
        <v>1</v>
      </c>
      <c r="O11" s="27">
        <v>4238.2299999999996</v>
      </c>
      <c r="P11" s="28">
        <f t="shared" si="1"/>
        <v>21191.149999999998</v>
      </c>
      <c r="Q11" s="22" t="s">
        <v>67</v>
      </c>
      <c r="R11" s="38" t="s">
        <v>72</v>
      </c>
      <c r="S11" s="30">
        <f t="shared" si="2"/>
        <v>92</v>
      </c>
      <c r="T11" s="30" t="str">
        <f t="shared" si="3"/>
        <v>05/2026</v>
      </c>
      <c r="U11" s="30" t="str">
        <f t="shared" si="4"/>
        <v>09/2026</v>
      </c>
      <c r="V11" s="31">
        <f t="shared" si="5"/>
        <v>0</v>
      </c>
      <c r="W11" s="22" t="s">
        <v>39</v>
      </c>
      <c r="X11" s="32"/>
      <c r="Y11" s="33" t="s">
        <v>55</v>
      </c>
      <c r="Z11" s="32"/>
      <c r="AA11" s="39" t="s">
        <v>69</v>
      </c>
    </row>
    <row r="12" spans="2:27" ht="15.75" customHeight="1" x14ac:dyDescent="0.35">
      <c r="B12" s="11" t="s">
        <v>46</v>
      </c>
      <c r="C12" s="3" t="s">
        <v>63</v>
      </c>
      <c r="D12" s="3" t="s">
        <v>64</v>
      </c>
      <c r="E12" s="3"/>
      <c r="F12" s="3">
        <v>13040555</v>
      </c>
      <c r="G12" s="3" t="s">
        <v>70</v>
      </c>
      <c r="H12" s="12" t="s">
        <v>71</v>
      </c>
      <c r="I12" s="4">
        <v>46161</v>
      </c>
      <c r="J12" s="4">
        <v>46253</v>
      </c>
      <c r="K12" s="11" t="s">
        <v>37</v>
      </c>
      <c r="L12" s="5">
        <v>2</v>
      </c>
      <c r="M12" s="5">
        <v>2</v>
      </c>
      <c r="N12" s="13">
        <f t="shared" si="0"/>
        <v>1</v>
      </c>
      <c r="O12" s="14">
        <v>4238.2299999999996</v>
      </c>
      <c r="P12" s="15">
        <f t="shared" si="1"/>
        <v>8476.4599999999991</v>
      </c>
      <c r="Q12" s="11" t="s">
        <v>67</v>
      </c>
      <c r="R12" s="36" t="s">
        <v>72</v>
      </c>
      <c r="S12" s="17">
        <f t="shared" si="2"/>
        <v>92</v>
      </c>
      <c r="T12" s="17" t="str">
        <f t="shared" si="3"/>
        <v>05/2026</v>
      </c>
      <c r="U12" s="17" t="str">
        <f t="shared" si="4"/>
        <v>09/2026</v>
      </c>
      <c r="V12" s="18">
        <f t="shared" si="5"/>
        <v>0</v>
      </c>
      <c r="W12" s="11" t="s">
        <v>39</v>
      </c>
      <c r="X12" s="19"/>
      <c r="Y12" s="20" t="s">
        <v>55</v>
      </c>
      <c r="Z12" s="19"/>
      <c r="AA12" s="37" t="s">
        <v>69</v>
      </c>
    </row>
    <row r="13" spans="2:27" ht="15.75" customHeight="1" x14ac:dyDescent="0.35">
      <c r="B13" s="22" t="s">
        <v>73</v>
      </c>
      <c r="C13" s="23" t="s">
        <v>63</v>
      </c>
      <c r="D13" s="23" t="s">
        <v>64</v>
      </c>
      <c r="E13" s="23"/>
      <c r="F13" s="23">
        <v>13188470</v>
      </c>
      <c r="G13" s="23" t="s">
        <v>65</v>
      </c>
      <c r="H13" s="35" t="s">
        <v>66</v>
      </c>
      <c r="I13" s="24">
        <v>46161</v>
      </c>
      <c r="J13" s="24">
        <v>46225</v>
      </c>
      <c r="K13" s="22" t="s">
        <v>37</v>
      </c>
      <c r="L13" s="25">
        <v>1</v>
      </c>
      <c r="M13" s="25">
        <v>1</v>
      </c>
      <c r="N13" s="26">
        <f t="shared" si="0"/>
        <v>1</v>
      </c>
      <c r="O13" s="27">
        <v>1437.72</v>
      </c>
      <c r="P13" s="28">
        <f t="shared" si="1"/>
        <v>1437.72</v>
      </c>
      <c r="Q13" s="22" t="s">
        <v>67</v>
      </c>
      <c r="R13" s="38" t="s">
        <v>68</v>
      </c>
      <c r="S13" s="30">
        <f t="shared" si="2"/>
        <v>64</v>
      </c>
      <c r="T13" s="30" t="str">
        <f t="shared" si="3"/>
        <v>05/2026</v>
      </c>
      <c r="U13" s="30" t="str">
        <f t="shared" si="4"/>
        <v>08/2026</v>
      </c>
      <c r="V13" s="31">
        <f t="shared" si="5"/>
        <v>0</v>
      </c>
      <c r="W13" s="22" t="s">
        <v>39</v>
      </c>
      <c r="X13" s="32"/>
      <c r="Y13" s="33" t="s">
        <v>55</v>
      </c>
      <c r="Z13" s="32"/>
      <c r="AA13" s="39" t="s">
        <v>69</v>
      </c>
    </row>
    <row r="14" spans="2:27" ht="15.75" customHeight="1" x14ac:dyDescent="0.35">
      <c r="B14" s="11" t="s">
        <v>74</v>
      </c>
      <c r="C14" s="3" t="s">
        <v>75</v>
      </c>
      <c r="D14" s="3" t="s">
        <v>76</v>
      </c>
      <c r="E14" s="3">
        <v>4300037223</v>
      </c>
      <c r="F14" s="3">
        <v>15134397</v>
      </c>
      <c r="G14" s="3" t="s">
        <v>77</v>
      </c>
      <c r="H14" s="3" t="s">
        <v>78</v>
      </c>
      <c r="I14" s="4">
        <v>46154</v>
      </c>
      <c r="J14" s="4">
        <v>46239</v>
      </c>
      <c r="K14" s="11" t="s">
        <v>37</v>
      </c>
      <c r="L14" s="5">
        <v>3</v>
      </c>
      <c r="M14" s="5">
        <v>0</v>
      </c>
      <c r="N14" s="13">
        <f t="shared" si="0"/>
        <v>0</v>
      </c>
      <c r="O14" s="14">
        <v>71.7</v>
      </c>
      <c r="P14" s="15">
        <f t="shared" si="1"/>
        <v>215.10000000000002</v>
      </c>
      <c r="Q14" s="11" t="s">
        <v>67</v>
      </c>
      <c r="R14" s="36" t="s">
        <v>68</v>
      </c>
      <c r="S14" s="17">
        <f t="shared" si="2"/>
        <v>85</v>
      </c>
      <c r="T14" s="17" t="str">
        <f t="shared" si="3"/>
        <v>05/2026</v>
      </c>
      <c r="U14" s="17" t="str">
        <f t="shared" si="4"/>
        <v>08/2026</v>
      </c>
      <c r="V14" s="18">
        <f t="shared" si="5"/>
        <v>3</v>
      </c>
      <c r="W14" s="11" t="s">
        <v>39</v>
      </c>
      <c r="X14" s="19"/>
      <c r="Y14" s="20" t="s">
        <v>55</v>
      </c>
      <c r="Z14" s="19"/>
      <c r="AA14" s="40" t="s">
        <v>79</v>
      </c>
    </row>
    <row r="15" spans="2:27" ht="15.75" customHeight="1" x14ac:dyDescent="0.35">
      <c r="B15" s="22" t="s">
        <v>80</v>
      </c>
      <c r="C15" s="23" t="s">
        <v>81</v>
      </c>
      <c r="D15" s="23" t="s">
        <v>82</v>
      </c>
      <c r="E15" s="23">
        <v>4300037815</v>
      </c>
      <c r="F15" s="23">
        <v>13040555</v>
      </c>
      <c r="G15" s="23" t="s">
        <v>70</v>
      </c>
      <c r="H15" s="23" t="s">
        <v>83</v>
      </c>
      <c r="I15" s="24">
        <v>46154</v>
      </c>
      <c r="J15" s="24">
        <v>46246</v>
      </c>
      <c r="K15" s="22" t="s">
        <v>37</v>
      </c>
      <c r="L15" s="25">
        <v>2</v>
      </c>
      <c r="M15" s="25">
        <v>2</v>
      </c>
      <c r="N15" s="26">
        <f t="shared" si="0"/>
        <v>1</v>
      </c>
      <c r="O15" s="27">
        <v>4395.2</v>
      </c>
      <c r="P15" s="28">
        <f t="shared" si="1"/>
        <v>8790.4</v>
      </c>
      <c r="Q15" s="22" t="s">
        <v>67</v>
      </c>
      <c r="R15" s="38" t="s">
        <v>68</v>
      </c>
      <c r="S15" s="30">
        <f t="shared" si="2"/>
        <v>92</v>
      </c>
      <c r="T15" s="30" t="str">
        <f t="shared" si="3"/>
        <v>05/2026</v>
      </c>
      <c r="U15" s="30" t="str">
        <f t="shared" si="4"/>
        <v>09/2026</v>
      </c>
      <c r="V15" s="31">
        <f t="shared" si="5"/>
        <v>0</v>
      </c>
      <c r="W15" s="22" t="s">
        <v>39</v>
      </c>
      <c r="X15" s="32"/>
      <c r="Y15" s="33" t="s">
        <v>55</v>
      </c>
      <c r="Z15" s="32"/>
      <c r="AA15" s="41" t="s">
        <v>84</v>
      </c>
    </row>
    <row r="16" spans="2:27" ht="15.75" customHeight="1" x14ac:dyDescent="0.35">
      <c r="B16" s="11" t="s">
        <v>41</v>
      </c>
      <c r="C16" s="3" t="s">
        <v>81</v>
      </c>
      <c r="D16" s="3" t="s">
        <v>82</v>
      </c>
      <c r="E16" s="3">
        <v>4300037815</v>
      </c>
      <c r="F16" s="3">
        <v>13040485</v>
      </c>
      <c r="G16" s="3" t="s">
        <v>85</v>
      </c>
      <c r="H16" s="3" t="s">
        <v>86</v>
      </c>
      <c r="I16" s="4">
        <v>46154</v>
      </c>
      <c r="J16" s="4">
        <v>46246</v>
      </c>
      <c r="K16" s="11" t="s">
        <v>37</v>
      </c>
      <c r="L16" s="5">
        <v>1</v>
      </c>
      <c r="M16" s="5">
        <v>1</v>
      </c>
      <c r="N16" s="13">
        <f t="shared" si="0"/>
        <v>1</v>
      </c>
      <c r="O16" s="14">
        <v>10786.44</v>
      </c>
      <c r="P16" s="15">
        <f t="shared" si="1"/>
        <v>10786.44</v>
      </c>
      <c r="Q16" s="11" t="s">
        <v>67</v>
      </c>
      <c r="R16" s="36" t="s">
        <v>68</v>
      </c>
      <c r="S16" s="17">
        <f t="shared" si="2"/>
        <v>92</v>
      </c>
      <c r="T16" s="17" t="str">
        <f t="shared" si="3"/>
        <v>05/2026</v>
      </c>
      <c r="U16" s="17" t="str">
        <f t="shared" si="4"/>
        <v>09/2026</v>
      </c>
      <c r="V16" s="18">
        <f t="shared" si="5"/>
        <v>0</v>
      </c>
      <c r="W16" s="11" t="s">
        <v>39</v>
      </c>
      <c r="X16" s="19"/>
      <c r="Y16" s="20" t="s">
        <v>55</v>
      </c>
      <c r="Z16" s="19"/>
      <c r="AA16" s="40" t="s">
        <v>84</v>
      </c>
    </row>
    <row r="17" spans="2:27" ht="15.75" customHeight="1" x14ac:dyDescent="0.35">
      <c r="B17" s="22" t="s">
        <v>46</v>
      </c>
      <c r="C17" s="23" t="s">
        <v>81</v>
      </c>
      <c r="D17" s="23" t="s">
        <v>82</v>
      </c>
      <c r="E17" s="23">
        <v>4300037815</v>
      </c>
      <c r="F17" s="23">
        <v>13040555</v>
      </c>
      <c r="G17" s="23" t="s">
        <v>70</v>
      </c>
      <c r="H17" s="23" t="s">
        <v>83</v>
      </c>
      <c r="I17" s="24">
        <v>46154</v>
      </c>
      <c r="J17" s="24">
        <v>46246</v>
      </c>
      <c r="K17" s="22" t="s">
        <v>37</v>
      </c>
      <c r="L17" s="25">
        <v>7</v>
      </c>
      <c r="M17" s="25">
        <v>7</v>
      </c>
      <c r="N17" s="26">
        <f t="shared" si="0"/>
        <v>1</v>
      </c>
      <c r="O17" s="27">
        <v>4395.2</v>
      </c>
      <c r="P17" s="28">
        <f t="shared" si="1"/>
        <v>30766.399999999998</v>
      </c>
      <c r="Q17" s="22" t="s">
        <v>67</v>
      </c>
      <c r="R17" s="38" t="s">
        <v>68</v>
      </c>
      <c r="S17" s="30">
        <f t="shared" si="2"/>
        <v>92</v>
      </c>
      <c r="T17" s="30" t="str">
        <f t="shared" si="3"/>
        <v>05/2026</v>
      </c>
      <c r="U17" s="30" t="str">
        <f t="shared" si="4"/>
        <v>09/2026</v>
      </c>
      <c r="V17" s="31">
        <f t="shared" si="5"/>
        <v>0</v>
      </c>
      <c r="W17" s="22" t="s">
        <v>39</v>
      </c>
      <c r="X17" s="32"/>
      <c r="Y17" s="33" t="s">
        <v>55</v>
      </c>
      <c r="Z17" s="32"/>
      <c r="AA17" s="41" t="s">
        <v>84</v>
      </c>
    </row>
    <row r="18" spans="2:27" ht="15.75" customHeight="1" x14ac:dyDescent="0.35">
      <c r="B18" s="11" t="s">
        <v>87</v>
      </c>
      <c r="C18" s="3" t="s">
        <v>81</v>
      </c>
      <c r="D18" s="3" t="s">
        <v>82</v>
      </c>
      <c r="E18" s="3">
        <v>4300037815</v>
      </c>
      <c r="F18" s="3">
        <v>15509234</v>
      </c>
      <c r="G18" s="3" t="s">
        <v>88</v>
      </c>
      <c r="H18" s="3" t="s">
        <v>89</v>
      </c>
      <c r="I18" s="4">
        <v>46154</v>
      </c>
      <c r="J18" s="4">
        <v>46239</v>
      </c>
      <c r="K18" s="11" t="s">
        <v>37</v>
      </c>
      <c r="L18" s="5">
        <v>12</v>
      </c>
      <c r="M18" s="5">
        <v>12</v>
      </c>
      <c r="N18" s="13">
        <f t="shared" si="0"/>
        <v>1</v>
      </c>
      <c r="O18" s="14">
        <v>2.71</v>
      </c>
      <c r="P18" s="15">
        <f t="shared" si="1"/>
        <v>32.519999999999996</v>
      </c>
      <c r="Q18" s="11" t="s">
        <v>67</v>
      </c>
      <c r="R18" s="36" t="s">
        <v>68</v>
      </c>
      <c r="S18" s="17">
        <f t="shared" si="2"/>
        <v>85</v>
      </c>
      <c r="T18" s="17" t="str">
        <f t="shared" si="3"/>
        <v>05/2026</v>
      </c>
      <c r="U18" s="17" t="str">
        <f t="shared" si="4"/>
        <v>08/2026</v>
      </c>
      <c r="V18" s="18">
        <f t="shared" si="5"/>
        <v>0</v>
      </c>
      <c r="W18" s="11" t="s">
        <v>39</v>
      </c>
      <c r="X18" s="19"/>
      <c r="Y18" s="20" t="s">
        <v>55</v>
      </c>
      <c r="Z18" s="19"/>
      <c r="AA18" s="40" t="s">
        <v>90</v>
      </c>
    </row>
    <row r="19" spans="2:27" ht="15.75" customHeight="1" x14ac:dyDescent="0.35">
      <c r="B19" s="22" t="s">
        <v>91</v>
      </c>
      <c r="C19" s="23" t="s">
        <v>92</v>
      </c>
      <c r="D19" s="23" t="s">
        <v>93</v>
      </c>
      <c r="E19" s="23">
        <v>4300034374</v>
      </c>
      <c r="F19" s="23">
        <v>15744967</v>
      </c>
      <c r="G19" s="23" t="s">
        <v>94</v>
      </c>
      <c r="H19" s="23" t="s">
        <v>95</v>
      </c>
      <c r="I19" s="24">
        <v>46113</v>
      </c>
      <c r="J19" s="24">
        <v>46225</v>
      </c>
      <c r="K19" s="22" t="s">
        <v>37</v>
      </c>
      <c r="L19" s="25">
        <v>5</v>
      </c>
      <c r="M19" s="25">
        <v>0</v>
      </c>
      <c r="N19" s="26">
        <f t="shared" si="0"/>
        <v>0</v>
      </c>
      <c r="O19" s="27">
        <v>2589.33</v>
      </c>
      <c r="P19" s="28">
        <f t="shared" si="1"/>
        <v>12946.65</v>
      </c>
      <c r="Q19" s="22" t="s">
        <v>67</v>
      </c>
      <c r="R19" s="38" t="s">
        <v>72</v>
      </c>
      <c r="S19" s="30">
        <f t="shared" si="2"/>
        <v>112</v>
      </c>
      <c r="T19" s="30" t="str">
        <f t="shared" si="3"/>
        <v>04/2026</v>
      </c>
      <c r="U19" s="30" t="str">
        <f t="shared" si="4"/>
        <v>08/2026</v>
      </c>
      <c r="V19" s="31">
        <f t="shared" si="5"/>
        <v>5</v>
      </c>
      <c r="W19" s="22" t="s">
        <v>39</v>
      </c>
      <c r="X19" s="32">
        <v>46176</v>
      </c>
      <c r="Y19" s="33" t="s">
        <v>492</v>
      </c>
      <c r="Z19" s="32"/>
      <c r="AA19" s="41" t="s">
        <v>96</v>
      </c>
    </row>
    <row r="20" spans="2:27" ht="15.75" customHeight="1" x14ac:dyDescent="0.35">
      <c r="B20" s="11" t="s">
        <v>74</v>
      </c>
      <c r="C20" s="3" t="s">
        <v>92</v>
      </c>
      <c r="D20" s="3" t="s">
        <v>93</v>
      </c>
      <c r="E20" s="3">
        <v>4300034374</v>
      </c>
      <c r="F20" s="3">
        <v>15744967</v>
      </c>
      <c r="G20" s="3" t="s">
        <v>94</v>
      </c>
      <c r="H20" s="3" t="s">
        <v>95</v>
      </c>
      <c r="I20" s="4">
        <v>46113</v>
      </c>
      <c r="J20" s="4">
        <v>46225</v>
      </c>
      <c r="K20" s="11" t="s">
        <v>37</v>
      </c>
      <c r="L20" s="5">
        <v>4</v>
      </c>
      <c r="M20" s="5">
        <v>0</v>
      </c>
      <c r="N20" s="13">
        <f t="shared" si="0"/>
        <v>0</v>
      </c>
      <c r="O20" s="14">
        <v>2589.33</v>
      </c>
      <c r="P20" s="15">
        <f t="shared" si="1"/>
        <v>10357.32</v>
      </c>
      <c r="Q20" s="11" t="s">
        <v>67</v>
      </c>
      <c r="R20" s="36" t="s">
        <v>72</v>
      </c>
      <c r="S20" s="17">
        <f t="shared" si="2"/>
        <v>112</v>
      </c>
      <c r="T20" s="17" t="str">
        <f t="shared" si="3"/>
        <v>04/2026</v>
      </c>
      <c r="U20" s="17" t="str">
        <f t="shared" si="4"/>
        <v>08/2026</v>
      </c>
      <c r="V20" s="18">
        <f t="shared" si="5"/>
        <v>4</v>
      </c>
      <c r="W20" s="11" t="s">
        <v>39</v>
      </c>
      <c r="X20" s="19">
        <v>46176</v>
      </c>
      <c r="Y20" s="20" t="s">
        <v>492</v>
      </c>
      <c r="Z20" s="19"/>
      <c r="AA20" s="40" t="s">
        <v>96</v>
      </c>
    </row>
    <row r="21" spans="2:27" ht="15.75" customHeight="1" x14ac:dyDescent="0.35">
      <c r="B21" s="22" t="s">
        <v>97</v>
      </c>
      <c r="C21" s="23" t="s">
        <v>92</v>
      </c>
      <c r="D21" s="23" t="s">
        <v>93</v>
      </c>
      <c r="E21" s="23">
        <v>4300034374</v>
      </c>
      <c r="F21" s="23">
        <v>15744967</v>
      </c>
      <c r="G21" s="23" t="s">
        <v>94</v>
      </c>
      <c r="H21" s="23" t="s">
        <v>95</v>
      </c>
      <c r="I21" s="24">
        <v>46113</v>
      </c>
      <c r="J21" s="24">
        <v>46225</v>
      </c>
      <c r="K21" s="22" t="s">
        <v>37</v>
      </c>
      <c r="L21" s="25">
        <v>3</v>
      </c>
      <c r="M21" s="25">
        <v>0</v>
      </c>
      <c r="N21" s="26">
        <f t="shared" si="0"/>
        <v>0</v>
      </c>
      <c r="O21" s="27">
        <v>2589.33</v>
      </c>
      <c r="P21" s="28">
        <f t="shared" si="1"/>
        <v>7767.99</v>
      </c>
      <c r="Q21" s="22" t="s">
        <v>67</v>
      </c>
      <c r="R21" s="38" t="s">
        <v>72</v>
      </c>
      <c r="S21" s="30">
        <f t="shared" si="2"/>
        <v>112</v>
      </c>
      <c r="T21" s="30" t="str">
        <f t="shared" si="3"/>
        <v>04/2026</v>
      </c>
      <c r="U21" s="30" t="str">
        <f t="shared" si="4"/>
        <v>08/2026</v>
      </c>
      <c r="V21" s="31">
        <f t="shared" si="5"/>
        <v>3</v>
      </c>
      <c r="W21" s="22" t="s">
        <v>39</v>
      </c>
      <c r="X21" s="32">
        <v>46176</v>
      </c>
      <c r="Y21" s="33" t="s">
        <v>492</v>
      </c>
      <c r="Z21" s="32"/>
      <c r="AA21" s="39" t="s">
        <v>96</v>
      </c>
    </row>
    <row r="22" spans="2:27" ht="15.75" customHeight="1" x14ac:dyDescent="0.35">
      <c r="B22" s="11" t="s">
        <v>87</v>
      </c>
      <c r="C22" s="3" t="s">
        <v>92</v>
      </c>
      <c r="D22" s="3" t="s">
        <v>93</v>
      </c>
      <c r="E22" s="3">
        <v>4300034374</v>
      </c>
      <c r="F22" s="3">
        <v>15744967</v>
      </c>
      <c r="G22" s="3" t="s">
        <v>94</v>
      </c>
      <c r="H22" s="3" t="s">
        <v>95</v>
      </c>
      <c r="I22" s="4">
        <v>46113</v>
      </c>
      <c r="J22" s="4">
        <v>46225</v>
      </c>
      <c r="K22" s="11" t="s">
        <v>37</v>
      </c>
      <c r="L22" s="5">
        <v>2</v>
      </c>
      <c r="M22" s="5">
        <v>0</v>
      </c>
      <c r="N22" s="13">
        <f t="shared" si="0"/>
        <v>0</v>
      </c>
      <c r="O22" s="14">
        <v>2589.33</v>
      </c>
      <c r="P22" s="15">
        <f t="shared" si="1"/>
        <v>5178.66</v>
      </c>
      <c r="Q22" s="11" t="s">
        <v>67</v>
      </c>
      <c r="R22" s="36" t="s">
        <v>72</v>
      </c>
      <c r="S22" s="17">
        <f t="shared" si="2"/>
        <v>112</v>
      </c>
      <c r="T22" s="17" t="str">
        <f t="shared" si="3"/>
        <v>04/2026</v>
      </c>
      <c r="U22" s="17" t="str">
        <f t="shared" si="4"/>
        <v>08/2026</v>
      </c>
      <c r="V22" s="18">
        <f t="shared" si="5"/>
        <v>2</v>
      </c>
      <c r="W22" s="11" t="s">
        <v>39</v>
      </c>
      <c r="X22" s="42">
        <v>46176</v>
      </c>
      <c r="Y22" s="20" t="s">
        <v>492</v>
      </c>
      <c r="Z22" s="19"/>
      <c r="AA22" s="40" t="s">
        <v>96</v>
      </c>
    </row>
    <row r="23" spans="2:27" ht="15.75" customHeight="1" x14ac:dyDescent="0.35">
      <c r="B23" s="22" t="s">
        <v>97</v>
      </c>
      <c r="C23" s="23" t="s">
        <v>98</v>
      </c>
      <c r="D23" s="23" t="s">
        <v>99</v>
      </c>
      <c r="E23" s="23">
        <v>4300036757</v>
      </c>
      <c r="F23" s="23">
        <v>15475312</v>
      </c>
      <c r="G23" s="23" t="s">
        <v>100</v>
      </c>
      <c r="H23" s="23" t="s">
        <v>101</v>
      </c>
      <c r="I23" s="24">
        <v>46113</v>
      </c>
      <c r="J23" s="24">
        <v>46205</v>
      </c>
      <c r="K23" s="22" t="s">
        <v>37</v>
      </c>
      <c r="L23" s="25">
        <v>7</v>
      </c>
      <c r="M23" s="25">
        <v>7</v>
      </c>
      <c r="N23" s="26">
        <f t="shared" si="0"/>
        <v>1</v>
      </c>
      <c r="O23" s="27">
        <v>495</v>
      </c>
      <c r="P23" s="28">
        <f t="shared" si="1"/>
        <v>3465</v>
      </c>
      <c r="Q23" s="22" t="s">
        <v>67</v>
      </c>
      <c r="R23" s="38" t="s">
        <v>68</v>
      </c>
      <c r="S23" s="30">
        <f t="shared" si="2"/>
        <v>92</v>
      </c>
      <c r="T23" s="30" t="str">
        <f t="shared" si="3"/>
        <v>04/2026</v>
      </c>
      <c r="U23" s="30" t="str">
        <f t="shared" si="4"/>
        <v>07/2026</v>
      </c>
      <c r="V23" s="31">
        <f t="shared" si="5"/>
        <v>0</v>
      </c>
      <c r="W23" s="22" t="s">
        <v>39</v>
      </c>
      <c r="X23" s="32"/>
      <c r="Y23" s="33" t="s">
        <v>492</v>
      </c>
      <c r="Z23" s="32"/>
      <c r="AA23" s="41" t="s">
        <v>102</v>
      </c>
    </row>
    <row r="24" spans="2:27" ht="15.75" customHeight="1" x14ac:dyDescent="0.35">
      <c r="B24" s="11" t="s">
        <v>33</v>
      </c>
      <c r="C24" s="3" t="s">
        <v>98</v>
      </c>
      <c r="D24" s="3" t="s">
        <v>99</v>
      </c>
      <c r="E24" s="3">
        <v>4300036757</v>
      </c>
      <c r="F24" s="3">
        <v>15475312</v>
      </c>
      <c r="G24" s="3" t="s">
        <v>100</v>
      </c>
      <c r="H24" s="3" t="s">
        <v>101</v>
      </c>
      <c r="I24" s="4">
        <v>46113</v>
      </c>
      <c r="J24" s="4">
        <v>46205</v>
      </c>
      <c r="K24" s="11" t="s">
        <v>37</v>
      </c>
      <c r="L24" s="5">
        <v>13</v>
      </c>
      <c r="M24" s="5">
        <v>13</v>
      </c>
      <c r="N24" s="13">
        <f t="shared" si="0"/>
        <v>1</v>
      </c>
      <c r="O24" s="14">
        <v>495</v>
      </c>
      <c r="P24" s="15">
        <f t="shared" si="1"/>
        <v>6435</v>
      </c>
      <c r="Q24" s="11" t="s">
        <v>67</v>
      </c>
      <c r="R24" s="36" t="s">
        <v>68</v>
      </c>
      <c r="S24" s="17">
        <f t="shared" si="2"/>
        <v>92</v>
      </c>
      <c r="T24" s="17" t="str">
        <f t="shared" si="3"/>
        <v>04/2026</v>
      </c>
      <c r="U24" s="17" t="str">
        <f t="shared" si="4"/>
        <v>07/2026</v>
      </c>
      <c r="V24" s="18">
        <f t="shared" si="5"/>
        <v>0</v>
      </c>
      <c r="W24" s="11" t="s">
        <v>39</v>
      </c>
      <c r="X24" s="19"/>
      <c r="Y24" s="20" t="s">
        <v>492</v>
      </c>
      <c r="Z24" s="19"/>
      <c r="AA24" s="40" t="s">
        <v>102</v>
      </c>
    </row>
    <row r="25" spans="2:27" ht="15.75" customHeight="1" x14ac:dyDescent="0.35">
      <c r="B25" s="22" t="s">
        <v>74</v>
      </c>
      <c r="C25" s="23" t="s">
        <v>103</v>
      </c>
      <c r="D25" s="23" t="s">
        <v>104</v>
      </c>
      <c r="E25" s="23">
        <v>4300036353</v>
      </c>
      <c r="F25" s="23">
        <v>13117942</v>
      </c>
      <c r="G25" s="23" t="s">
        <v>105</v>
      </c>
      <c r="H25" s="23" t="s">
        <v>106</v>
      </c>
      <c r="I25" s="24">
        <v>46100</v>
      </c>
      <c r="J25" s="24">
        <v>46344</v>
      </c>
      <c r="K25" s="22" t="s">
        <v>37</v>
      </c>
      <c r="L25" s="25">
        <v>4</v>
      </c>
      <c r="M25" s="25">
        <v>4</v>
      </c>
      <c r="N25" s="26">
        <f t="shared" si="0"/>
        <v>1</v>
      </c>
      <c r="O25" s="27">
        <v>60.21</v>
      </c>
      <c r="P25" s="28">
        <f t="shared" si="1"/>
        <v>240.84</v>
      </c>
      <c r="Q25" s="22" t="s">
        <v>67</v>
      </c>
      <c r="R25" s="38" t="s">
        <v>107</v>
      </c>
      <c r="S25" s="30">
        <f t="shared" si="2"/>
        <v>244</v>
      </c>
      <c r="T25" s="30" t="str">
        <f t="shared" si="3"/>
        <v>03/2026</v>
      </c>
      <c r="U25" s="30" t="str">
        <f t="shared" si="4"/>
        <v>12/2026</v>
      </c>
      <c r="V25" s="31">
        <f t="shared" si="5"/>
        <v>0</v>
      </c>
      <c r="W25" s="22" t="s">
        <v>39</v>
      </c>
      <c r="X25" s="32"/>
      <c r="Y25" s="33" t="s">
        <v>55</v>
      </c>
      <c r="Z25" s="32"/>
      <c r="AA25" s="41" t="s">
        <v>108</v>
      </c>
    </row>
    <row r="26" spans="2:27" ht="15.75" customHeight="1" x14ac:dyDescent="0.35">
      <c r="B26" s="11" t="s">
        <v>50</v>
      </c>
      <c r="C26" s="3" t="s">
        <v>109</v>
      </c>
      <c r="D26" s="3" t="s">
        <v>110</v>
      </c>
      <c r="E26" s="3">
        <v>4300038759</v>
      </c>
      <c r="F26" s="3">
        <v>15647107</v>
      </c>
      <c r="G26" s="3" t="s">
        <v>111</v>
      </c>
      <c r="H26" s="3" t="s">
        <v>112</v>
      </c>
      <c r="I26" s="4">
        <v>46169</v>
      </c>
      <c r="J26" s="4">
        <v>46175</v>
      </c>
      <c r="K26" s="11" t="s">
        <v>113</v>
      </c>
      <c r="L26" s="5">
        <v>2</v>
      </c>
      <c r="M26" s="5">
        <v>2</v>
      </c>
      <c r="N26" s="13">
        <f t="shared" si="0"/>
        <v>1</v>
      </c>
      <c r="O26" s="14">
        <v>5.54</v>
      </c>
      <c r="P26" s="15">
        <f t="shared" si="1"/>
        <v>11.08</v>
      </c>
      <c r="Q26" s="11">
        <v>12765</v>
      </c>
      <c r="R26" s="43" t="s">
        <v>114</v>
      </c>
      <c r="S26" s="17">
        <f t="shared" si="2"/>
        <v>6</v>
      </c>
      <c r="T26" s="17" t="str">
        <f t="shared" si="3"/>
        <v>05/2026</v>
      </c>
      <c r="U26" s="17" t="str">
        <f t="shared" si="4"/>
        <v>06/2026</v>
      </c>
      <c r="V26" s="18">
        <f t="shared" si="5"/>
        <v>0</v>
      </c>
      <c r="W26" s="11" t="s">
        <v>39</v>
      </c>
      <c r="X26" s="19"/>
      <c r="Y26" s="20" t="s">
        <v>492</v>
      </c>
      <c r="Z26" s="19"/>
      <c r="AA26" s="40" t="s">
        <v>115</v>
      </c>
    </row>
    <row r="27" spans="2:27" ht="15.75" customHeight="1" x14ac:dyDescent="0.35">
      <c r="B27" s="22" t="s">
        <v>91</v>
      </c>
      <c r="C27" s="23" t="s">
        <v>109</v>
      </c>
      <c r="D27" s="23" t="s">
        <v>110</v>
      </c>
      <c r="E27" s="23">
        <v>4300038759</v>
      </c>
      <c r="F27" s="23">
        <v>15647107</v>
      </c>
      <c r="G27" s="23" t="s">
        <v>111</v>
      </c>
      <c r="H27" s="23" t="s">
        <v>112</v>
      </c>
      <c r="I27" s="24">
        <v>46169</v>
      </c>
      <c r="J27" s="24">
        <v>46175</v>
      </c>
      <c r="K27" s="22" t="s">
        <v>113</v>
      </c>
      <c r="L27" s="25">
        <v>2</v>
      </c>
      <c r="M27" s="25">
        <v>2</v>
      </c>
      <c r="N27" s="26">
        <f t="shared" si="0"/>
        <v>1</v>
      </c>
      <c r="O27" s="27">
        <v>5.54</v>
      </c>
      <c r="P27" s="28">
        <f t="shared" si="1"/>
        <v>11.08</v>
      </c>
      <c r="Q27" s="22">
        <v>12765</v>
      </c>
      <c r="R27" s="44" t="s">
        <v>114</v>
      </c>
      <c r="S27" s="30">
        <f t="shared" si="2"/>
        <v>6</v>
      </c>
      <c r="T27" s="30" t="str">
        <f t="shared" si="3"/>
        <v>05/2026</v>
      </c>
      <c r="U27" s="30" t="str">
        <f t="shared" si="4"/>
        <v>06/2026</v>
      </c>
      <c r="V27" s="31">
        <f t="shared" si="5"/>
        <v>0</v>
      </c>
      <c r="W27" s="22" t="s">
        <v>39</v>
      </c>
      <c r="X27" s="32"/>
      <c r="Y27" s="33" t="s">
        <v>492</v>
      </c>
      <c r="Z27" s="32"/>
      <c r="AA27" s="41" t="s">
        <v>115</v>
      </c>
    </row>
    <row r="28" spans="2:27" ht="15.75" customHeight="1" x14ac:dyDescent="0.35">
      <c r="B28" s="11" t="s">
        <v>46</v>
      </c>
      <c r="C28" s="3" t="s">
        <v>109</v>
      </c>
      <c r="D28" s="3" t="s">
        <v>110</v>
      </c>
      <c r="E28" s="3">
        <v>4300038759</v>
      </c>
      <c r="F28" s="3">
        <v>15056552</v>
      </c>
      <c r="G28" s="3" t="s">
        <v>116</v>
      </c>
      <c r="H28" s="3" t="s">
        <v>117</v>
      </c>
      <c r="I28" s="4">
        <v>46169</v>
      </c>
      <c r="J28" s="4">
        <v>46175</v>
      </c>
      <c r="K28" s="11" t="s">
        <v>113</v>
      </c>
      <c r="L28" s="5">
        <v>1</v>
      </c>
      <c r="M28" s="5">
        <v>1</v>
      </c>
      <c r="N28" s="13">
        <f t="shared" si="0"/>
        <v>1</v>
      </c>
      <c r="O28" s="14">
        <v>601.87</v>
      </c>
      <c r="P28" s="15">
        <f t="shared" si="1"/>
        <v>601.87</v>
      </c>
      <c r="Q28" s="11">
        <v>12765</v>
      </c>
      <c r="R28" s="43" t="s">
        <v>114</v>
      </c>
      <c r="S28" s="17">
        <f t="shared" si="2"/>
        <v>6</v>
      </c>
      <c r="T28" s="17" t="str">
        <f t="shared" si="3"/>
        <v>05/2026</v>
      </c>
      <c r="U28" s="17" t="str">
        <f t="shared" si="4"/>
        <v>06/2026</v>
      </c>
      <c r="V28" s="18">
        <f t="shared" si="5"/>
        <v>0</v>
      </c>
      <c r="W28" s="11" t="s">
        <v>39</v>
      </c>
      <c r="X28" s="19"/>
      <c r="Y28" s="20" t="s">
        <v>492</v>
      </c>
      <c r="Z28" s="19"/>
      <c r="AA28" s="40" t="s">
        <v>115</v>
      </c>
    </row>
    <row r="29" spans="2:27" ht="15.75" customHeight="1" x14ac:dyDescent="0.35">
      <c r="B29" s="22" t="s">
        <v>118</v>
      </c>
      <c r="C29" s="23" t="s">
        <v>109</v>
      </c>
      <c r="D29" s="23" t="s">
        <v>110</v>
      </c>
      <c r="E29" s="23">
        <v>4300038759</v>
      </c>
      <c r="F29" s="23">
        <v>15388676</v>
      </c>
      <c r="G29" s="23" t="s">
        <v>119</v>
      </c>
      <c r="H29" s="23" t="s">
        <v>120</v>
      </c>
      <c r="I29" s="24">
        <v>46169</v>
      </c>
      <c r="J29" s="24">
        <v>46175</v>
      </c>
      <c r="K29" s="22" t="s">
        <v>113</v>
      </c>
      <c r="L29" s="25">
        <v>1</v>
      </c>
      <c r="M29" s="25">
        <v>1</v>
      </c>
      <c r="N29" s="26">
        <f t="shared" si="0"/>
        <v>1</v>
      </c>
      <c r="O29" s="27">
        <v>146.04</v>
      </c>
      <c r="P29" s="28">
        <f t="shared" si="1"/>
        <v>146.04</v>
      </c>
      <c r="Q29" s="22">
        <v>12765</v>
      </c>
      <c r="R29" s="44" t="s">
        <v>114</v>
      </c>
      <c r="S29" s="30">
        <f t="shared" si="2"/>
        <v>6</v>
      </c>
      <c r="T29" s="30" t="str">
        <f t="shared" si="3"/>
        <v>05/2026</v>
      </c>
      <c r="U29" s="30" t="str">
        <f t="shared" si="4"/>
        <v>06/2026</v>
      </c>
      <c r="V29" s="31">
        <f t="shared" si="5"/>
        <v>0</v>
      </c>
      <c r="W29" s="22" t="s">
        <v>39</v>
      </c>
      <c r="X29" s="32"/>
      <c r="Y29" s="33" t="s">
        <v>492</v>
      </c>
      <c r="Z29" s="32"/>
      <c r="AA29" s="41" t="s">
        <v>115</v>
      </c>
    </row>
    <row r="30" spans="2:27" ht="15.75" customHeight="1" x14ac:dyDescent="0.35">
      <c r="B30" s="11" t="s">
        <v>73</v>
      </c>
      <c r="C30" s="3" t="s">
        <v>109</v>
      </c>
      <c r="D30" s="3" t="s">
        <v>110</v>
      </c>
      <c r="E30" s="3">
        <v>4300038759</v>
      </c>
      <c r="F30" s="3">
        <v>15062473</v>
      </c>
      <c r="G30" s="12" t="s">
        <v>121</v>
      </c>
      <c r="H30" s="12" t="s">
        <v>122</v>
      </c>
      <c r="I30" s="4">
        <v>46169</v>
      </c>
      <c r="J30" s="4">
        <v>46175</v>
      </c>
      <c r="K30" s="11" t="s">
        <v>113</v>
      </c>
      <c r="L30" s="5">
        <v>3</v>
      </c>
      <c r="M30" s="5">
        <v>3</v>
      </c>
      <c r="N30" s="13">
        <f t="shared" si="0"/>
        <v>1</v>
      </c>
      <c r="O30" s="14">
        <v>31.31</v>
      </c>
      <c r="P30" s="15">
        <f t="shared" si="1"/>
        <v>93.929999999999993</v>
      </c>
      <c r="Q30" s="11">
        <v>12765</v>
      </c>
      <c r="R30" s="43" t="s">
        <v>114</v>
      </c>
      <c r="S30" s="17">
        <f t="shared" si="2"/>
        <v>6</v>
      </c>
      <c r="T30" s="17" t="str">
        <f t="shared" si="3"/>
        <v>05/2026</v>
      </c>
      <c r="U30" s="17" t="str">
        <f t="shared" si="4"/>
        <v>06/2026</v>
      </c>
      <c r="V30" s="18">
        <f t="shared" si="5"/>
        <v>0</v>
      </c>
      <c r="W30" s="11" t="s">
        <v>39</v>
      </c>
      <c r="X30" s="19"/>
      <c r="Y30" s="20" t="s">
        <v>492</v>
      </c>
      <c r="Z30" s="19"/>
      <c r="AA30" s="40" t="s">
        <v>115</v>
      </c>
    </row>
    <row r="31" spans="2:27" ht="15.75" customHeight="1" x14ac:dyDescent="0.35">
      <c r="B31" s="22" t="s">
        <v>123</v>
      </c>
      <c r="C31" s="23" t="s">
        <v>109</v>
      </c>
      <c r="D31" s="23" t="s">
        <v>110</v>
      </c>
      <c r="E31" s="23">
        <v>4300038759</v>
      </c>
      <c r="F31" s="23">
        <v>15647107</v>
      </c>
      <c r="G31" s="23" t="s">
        <v>111</v>
      </c>
      <c r="H31" s="23" t="s">
        <v>112</v>
      </c>
      <c r="I31" s="24">
        <v>46169</v>
      </c>
      <c r="J31" s="24">
        <v>46175</v>
      </c>
      <c r="K31" s="22" t="s">
        <v>113</v>
      </c>
      <c r="L31" s="25">
        <v>1</v>
      </c>
      <c r="M31" s="25">
        <v>1</v>
      </c>
      <c r="N31" s="26">
        <f t="shared" si="0"/>
        <v>1</v>
      </c>
      <c r="O31" s="27">
        <v>5.54</v>
      </c>
      <c r="P31" s="28">
        <f t="shared" si="1"/>
        <v>5.54</v>
      </c>
      <c r="Q31" s="22">
        <v>12765</v>
      </c>
      <c r="R31" s="44" t="s">
        <v>114</v>
      </c>
      <c r="S31" s="30">
        <f t="shared" si="2"/>
        <v>6</v>
      </c>
      <c r="T31" s="30" t="str">
        <f t="shared" si="3"/>
        <v>05/2026</v>
      </c>
      <c r="U31" s="30" t="str">
        <f t="shared" si="4"/>
        <v>06/2026</v>
      </c>
      <c r="V31" s="31">
        <f t="shared" si="5"/>
        <v>0</v>
      </c>
      <c r="W31" s="22" t="s">
        <v>39</v>
      </c>
      <c r="X31" s="32"/>
      <c r="Y31" s="33" t="s">
        <v>492</v>
      </c>
      <c r="Z31" s="32"/>
      <c r="AA31" s="41" t="s">
        <v>115</v>
      </c>
    </row>
    <row r="32" spans="2:27" ht="15.75" customHeight="1" x14ac:dyDescent="0.35">
      <c r="B32" s="11" t="s">
        <v>124</v>
      </c>
      <c r="C32" s="3" t="s">
        <v>125</v>
      </c>
      <c r="D32" s="3" t="s">
        <v>126</v>
      </c>
      <c r="E32" s="3">
        <v>4300035325</v>
      </c>
      <c r="F32" s="3">
        <v>15149626</v>
      </c>
      <c r="G32" s="3" t="s">
        <v>127</v>
      </c>
      <c r="H32" s="3" t="s">
        <v>128</v>
      </c>
      <c r="I32" s="4">
        <v>46066</v>
      </c>
      <c r="J32" s="4">
        <v>46134</v>
      </c>
      <c r="K32" s="11" t="s">
        <v>37</v>
      </c>
      <c r="L32" s="5">
        <v>30</v>
      </c>
      <c r="M32" s="5">
        <v>30</v>
      </c>
      <c r="N32" s="13">
        <f t="shared" si="0"/>
        <v>1</v>
      </c>
      <c r="O32" s="14">
        <v>39.33</v>
      </c>
      <c r="P32" s="15">
        <f t="shared" si="1"/>
        <v>1179.8999999999999</v>
      </c>
      <c r="Q32" s="11" t="s">
        <v>129</v>
      </c>
      <c r="R32" s="16" t="s">
        <v>38</v>
      </c>
      <c r="S32" s="17">
        <f t="shared" si="2"/>
        <v>68</v>
      </c>
      <c r="T32" s="17" t="str">
        <f t="shared" si="3"/>
        <v>02/2026</v>
      </c>
      <c r="U32" s="17" t="str">
        <f t="shared" si="4"/>
        <v>05/2026</v>
      </c>
      <c r="V32" s="18">
        <f t="shared" si="5"/>
        <v>0</v>
      </c>
      <c r="W32" s="11" t="s">
        <v>39</v>
      </c>
      <c r="X32" s="19">
        <v>46132</v>
      </c>
      <c r="Y32" s="20" t="s">
        <v>491</v>
      </c>
      <c r="Z32" s="19"/>
      <c r="AA32" s="21" t="s">
        <v>130</v>
      </c>
    </row>
    <row r="33" spans="2:27" ht="15.75" customHeight="1" x14ac:dyDescent="0.35">
      <c r="B33" s="22" t="s">
        <v>131</v>
      </c>
      <c r="C33" s="23" t="s">
        <v>125</v>
      </c>
      <c r="D33" s="23" t="s">
        <v>126</v>
      </c>
      <c r="E33" s="23">
        <v>4300035325</v>
      </c>
      <c r="F33" s="23">
        <v>15055683</v>
      </c>
      <c r="G33" s="23" t="s">
        <v>132</v>
      </c>
      <c r="H33" s="23" t="s">
        <v>133</v>
      </c>
      <c r="I33" s="24">
        <v>46066</v>
      </c>
      <c r="J33" s="24">
        <v>46148</v>
      </c>
      <c r="K33" s="22" t="s">
        <v>37</v>
      </c>
      <c r="L33" s="25">
        <v>1</v>
      </c>
      <c r="M33" s="25">
        <v>1</v>
      </c>
      <c r="N33" s="26">
        <f t="shared" si="0"/>
        <v>1</v>
      </c>
      <c r="O33" s="27">
        <v>1044.3399999999999</v>
      </c>
      <c r="P33" s="28">
        <f t="shared" si="1"/>
        <v>1044.3399999999999</v>
      </c>
      <c r="Q33" s="22" t="s">
        <v>134</v>
      </c>
      <c r="R33" s="29" t="s">
        <v>38</v>
      </c>
      <c r="S33" s="30">
        <f t="shared" si="2"/>
        <v>82</v>
      </c>
      <c r="T33" s="30" t="str">
        <f t="shared" si="3"/>
        <v>02/2026</v>
      </c>
      <c r="U33" s="30" t="str">
        <f t="shared" si="4"/>
        <v>05/2026</v>
      </c>
      <c r="V33" s="31">
        <f t="shared" si="5"/>
        <v>0</v>
      </c>
      <c r="W33" s="22" t="s">
        <v>39</v>
      </c>
      <c r="X33" s="32">
        <v>46163</v>
      </c>
      <c r="Y33" s="33" t="s">
        <v>491</v>
      </c>
      <c r="Z33" s="32"/>
      <c r="AA33" s="34" t="s">
        <v>56</v>
      </c>
    </row>
    <row r="34" spans="2:27" ht="15.75" customHeight="1" x14ac:dyDescent="0.35">
      <c r="B34" s="11" t="s">
        <v>135</v>
      </c>
      <c r="C34" s="3" t="s">
        <v>125</v>
      </c>
      <c r="D34" s="3" t="s">
        <v>126</v>
      </c>
      <c r="E34" s="3">
        <v>4300035325</v>
      </c>
      <c r="F34" s="3">
        <v>15375665</v>
      </c>
      <c r="G34" s="3" t="s">
        <v>136</v>
      </c>
      <c r="H34" s="12" t="s">
        <v>137</v>
      </c>
      <c r="I34" s="4">
        <v>46066</v>
      </c>
      <c r="J34" s="4">
        <v>46197</v>
      </c>
      <c r="K34" s="11" t="s">
        <v>37</v>
      </c>
      <c r="L34" s="5">
        <v>5</v>
      </c>
      <c r="M34" s="5">
        <v>5</v>
      </c>
      <c r="N34" s="13">
        <f t="shared" si="0"/>
        <v>1</v>
      </c>
      <c r="O34" s="14">
        <v>110.25</v>
      </c>
      <c r="P34" s="15">
        <f t="shared" si="1"/>
        <v>551.25</v>
      </c>
      <c r="Q34" s="11" t="s">
        <v>138</v>
      </c>
      <c r="R34" s="45" t="s">
        <v>114</v>
      </c>
      <c r="S34" s="17">
        <f t="shared" si="2"/>
        <v>131</v>
      </c>
      <c r="T34" s="17" t="str">
        <f t="shared" si="3"/>
        <v>02/2026</v>
      </c>
      <c r="U34" s="17" t="str">
        <f t="shared" si="4"/>
        <v>07/2026</v>
      </c>
      <c r="V34" s="18">
        <f t="shared" si="5"/>
        <v>0</v>
      </c>
      <c r="W34" s="11" t="s">
        <v>39</v>
      </c>
      <c r="X34" s="19">
        <v>46175</v>
      </c>
      <c r="Y34" s="20" t="s">
        <v>492</v>
      </c>
      <c r="Z34" s="19"/>
      <c r="AA34" s="40"/>
    </row>
    <row r="35" spans="2:27" ht="15.75" customHeight="1" x14ac:dyDescent="0.35">
      <c r="B35" s="22" t="s">
        <v>139</v>
      </c>
      <c r="C35" s="23" t="s">
        <v>125</v>
      </c>
      <c r="D35" s="23" t="s">
        <v>126</v>
      </c>
      <c r="E35" s="23">
        <v>4300035325</v>
      </c>
      <c r="F35" s="23">
        <v>15351089</v>
      </c>
      <c r="G35" s="35" t="s">
        <v>140</v>
      </c>
      <c r="H35" s="35" t="s">
        <v>141</v>
      </c>
      <c r="I35" s="24">
        <v>46066</v>
      </c>
      <c r="J35" s="24">
        <v>46197</v>
      </c>
      <c r="K35" s="22" t="s">
        <v>37</v>
      </c>
      <c r="L35" s="25">
        <v>5</v>
      </c>
      <c r="M35" s="25">
        <v>5</v>
      </c>
      <c r="N35" s="26">
        <f t="shared" si="0"/>
        <v>1</v>
      </c>
      <c r="O35" s="27">
        <v>108.14</v>
      </c>
      <c r="P35" s="28">
        <f t="shared" si="1"/>
        <v>540.70000000000005</v>
      </c>
      <c r="Q35" s="22" t="s">
        <v>138</v>
      </c>
      <c r="R35" s="46" t="s">
        <v>114</v>
      </c>
      <c r="S35" s="30">
        <f t="shared" si="2"/>
        <v>131</v>
      </c>
      <c r="T35" s="30" t="str">
        <f t="shared" si="3"/>
        <v>02/2026</v>
      </c>
      <c r="U35" s="30" t="str">
        <f t="shared" si="4"/>
        <v>07/2026</v>
      </c>
      <c r="V35" s="31">
        <f t="shared" si="5"/>
        <v>0</v>
      </c>
      <c r="W35" s="22" t="s">
        <v>39</v>
      </c>
      <c r="X35" s="32">
        <v>46175</v>
      </c>
      <c r="Y35" s="33" t="s">
        <v>492</v>
      </c>
      <c r="Z35" s="32"/>
      <c r="AA35" s="41"/>
    </row>
    <row r="36" spans="2:27" ht="15.75" customHeight="1" x14ac:dyDescent="0.35">
      <c r="B36" s="11" t="s">
        <v>142</v>
      </c>
      <c r="C36" s="3" t="s">
        <v>125</v>
      </c>
      <c r="D36" s="3" t="s">
        <v>126</v>
      </c>
      <c r="E36" s="3">
        <v>4300035325</v>
      </c>
      <c r="F36" s="3"/>
      <c r="G36" s="3" t="s">
        <v>121</v>
      </c>
      <c r="H36" s="12" t="s">
        <v>122</v>
      </c>
      <c r="I36" s="4">
        <v>46066</v>
      </c>
      <c r="J36" s="4">
        <v>46197</v>
      </c>
      <c r="K36" s="11" t="s">
        <v>37</v>
      </c>
      <c r="L36" s="5">
        <v>5</v>
      </c>
      <c r="M36" s="5">
        <v>5</v>
      </c>
      <c r="N36" s="13">
        <f t="shared" ref="N36:N67" si="6">IF(L36=0,0,M36/L36)</f>
        <v>1</v>
      </c>
      <c r="O36" s="14">
        <v>25.74</v>
      </c>
      <c r="P36" s="15">
        <f t="shared" ref="P36:P67" si="7">L36*O36</f>
        <v>128.69999999999999</v>
      </c>
      <c r="Q36" s="11" t="s">
        <v>138</v>
      </c>
      <c r="R36" s="45" t="s">
        <v>114</v>
      </c>
      <c r="S36" s="17">
        <f t="shared" ref="S36:S67" si="8">IF(Y36="✔","✔ OK",IF(OR(J36="",J36=0),"TBA",INT(J36-I36)))</f>
        <v>131</v>
      </c>
      <c r="T36" s="17" t="str">
        <f t="shared" ref="T36:T67" si="9">IF(I36="","",TEXT(MONTH(I36),"00")&amp;"/"&amp;YEAR(I36))</f>
        <v>02/2026</v>
      </c>
      <c r="U36" s="17" t="str">
        <f t="shared" ref="U36:U67" si="10">IF(Y36="✔","OK",IF(OR(J36="",J36=0),"",TEXT(MONTH(J36+20),"00")&amp;"/"&amp;TEXT(YEAR(J36+20),"0000")))</f>
        <v>07/2026</v>
      </c>
      <c r="V36" s="18">
        <f t="shared" ref="V36:V67" si="11">L36-M36</f>
        <v>0</v>
      </c>
      <c r="W36" s="11" t="s">
        <v>39</v>
      </c>
      <c r="X36" s="19">
        <v>46175</v>
      </c>
      <c r="Y36" s="20" t="s">
        <v>492</v>
      </c>
      <c r="Z36" s="19"/>
      <c r="AA36" s="40"/>
    </row>
    <row r="37" spans="2:27" ht="15.75" customHeight="1" x14ac:dyDescent="0.35">
      <c r="B37" s="22" t="s">
        <v>143</v>
      </c>
      <c r="C37" s="23" t="s">
        <v>125</v>
      </c>
      <c r="D37" s="23" t="s">
        <v>126</v>
      </c>
      <c r="E37" s="23">
        <v>4300035325</v>
      </c>
      <c r="F37" s="23">
        <v>13061642</v>
      </c>
      <c r="G37" s="23" t="s">
        <v>144</v>
      </c>
      <c r="H37" s="35" t="s">
        <v>145</v>
      </c>
      <c r="I37" s="24">
        <v>46066</v>
      </c>
      <c r="J37" s="24">
        <v>46197</v>
      </c>
      <c r="K37" s="22" t="s">
        <v>37</v>
      </c>
      <c r="L37" s="25">
        <v>5</v>
      </c>
      <c r="M37" s="25">
        <v>5</v>
      </c>
      <c r="N37" s="26">
        <f t="shared" si="6"/>
        <v>1</v>
      </c>
      <c r="O37" s="27">
        <v>4.79</v>
      </c>
      <c r="P37" s="28">
        <f t="shared" si="7"/>
        <v>23.95</v>
      </c>
      <c r="Q37" s="22" t="s">
        <v>138</v>
      </c>
      <c r="R37" s="46" t="s">
        <v>114</v>
      </c>
      <c r="S37" s="30">
        <f t="shared" si="8"/>
        <v>131</v>
      </c>
      <c r="T37" s="30" t="str">
        <f t="shared" si="9"/>
        <v>02/2026</v>
      </c>
      <c r="U37" s="30" t="str">
        <f t="shared" si="10"/>
        <v>07/2026</v>
      </c>
      <c r="V37" s="31">
        <f t="shared" si="11"/>
        <v>0</v>
      </c>
      <c r="W37" s="22" t="s">
        <v>39</v>
      </c>
      <c r="X37" s="32">
        <v>46175</v>
      </c>
      <c r="Y37" s="33" t="s">
        <v>492</v>
      </c>
      <c r="Z37" s="32"/>
      <c r="AA37" s="41"/>
    </row>
    <row r="38" spans="2:27" ht="15.75" customHeight="1" x14ac:dyDescent="0.35">
      <c r="B38" s="11" t="s">
        <v>146</v>
      </c>
      <c r="C38" s="3" t="s">
        <v>125</v>
      </c>
      <c r="D38" s="3" t="s">
        <v>126</v>
      </c>
      <c r="E38" s="3">
        <v>4300035325</v>
      </c>
      <c r="F38" s="3">
        <v>13065456</v>
      </c>
      <c r="G38" s="12" t="s">
        <v>147</v>
      </c>
      <c r="H38" s="12" t="s">
        <v>148</v>
      </c>
      <c r="I38" s="4">
        <v>46066</v>
      </c>
      <c r="J38" s="4">
        <v>46197</v>
      </c>
      <c r="K38" s="11" t="s">
        <v>37</v>
      </c>
      <c r="L38" s="5">
        <v>10</v>
      </c>
      <c r="M38" s="5">
        <v>10</v>
      </c>
      <c r="N38" s="13">
        <f t="shared" si="6"/>
        <v>1</v>
      </c>
      <c r="O38" s="14">
        <v>3.35</v>
      </c>
      <c r="P38" s="15">
        <f t="shared" si="7"/>
        <v>33.5</v>
      </c>
      <c r="Q38" s="11" t="s">
        <v>138</v>
      </c>
      <c r="R38" s="45" t="s">
        <v>114</v>
      </c>
      <c r="S38" s="17">
        <f t="shared" si="8"/>
        <v>131</v>
      </c>
      <c r="T38" s="17" t="str">
        <f t="shared" si="9"/>
        <v>02/2026</v>
      </c>
      <c r="U38" s="17" t="str">
        <f t="shared" si="10"/>
        <v>07/2026</v>
      </c>
      <c r="V38" s="18">
        <f t="shared" si="11"/>
        <v>0</v>
      </c>
      <c r="W38" s="11" t="s">
        <v>39</v>
      </c>
      <c r="X38" s="19">
        <v>46175</v>
      </c>
      <c r="Y38" s="20" t="s">
        <v>492</v>
      </c>
      <c r="Z38" s="19"/>
      <c r="AA38" s="40"/>
    </row>
    <row r="39" spans="2:27" ht="15.75" customHeight="1" x14ac:dyDescent="0.35">
      <c r="B39" s="22" t="s">
        <v>91</v>
      </c>
      <c r="C39" s="23" t="s">
        <v>34</v>
      </c>
      <c r="D39" s="23" t="s">
        <v>42</v>
      </c>
      <c r="E39" s="23">
        <v>4300034814</v>
      </c>
      <c r="F39" s="23">
        <v>15375351</v>
      </c>
      <c r="G39" s="23" t="s">
        <v>149</v>
      </c>
      <c r="H39" s="23" t="s">
        <v>150</v>
      </c>
      <c r="I39" s="24">
        <v>46057</v>
      </c>
      <c r="J39" s="24">
        <v>46127</v>
      </c>
      <c r="K39" s="22" t="s">
        <v>37</v>
      </c>
      <c r="L39" s="25">
        <v>4</v>
      </c>
      <c r="M39" s="25">
        <v>4</v>
      </c>
      <c r="N39" s="26">
        <f t="shared" si="6"/>
        <v>1</v>
      </c>
      <c r="O39" s="27">
        <v>419.07</v>
      </c>
      <c r="P39" s="28">
        <f t="shared" si="7"/>
        <v>1676.28</v>
      </c>
      <c r="Q39" s="22" t="s">
        <v>151</v>
      </c>
      <c r="R39" s="29" t="s">
        <v>38</v>
      </c>
      <c r="S39" s="30" t="str">
        <f t="shared" si="8"/>
        <v>✔ OK</v>
      </c>
      <c r="T39" s="30" t="str">
        <f t="shared" si="9"/>
        <v>02/2026</v>
      </c>
      <c r="U39" s="30" t="str">
        <f t="shared" si="10"/>
        <v>OK</v>
      </c>
      <c r="V39" s="31">
        <f t="shared" si="11"/>
        <v>0</v>
      </c>
      <c r="W39" s="22" t="s">
        <v>39</v>
      </c>
      <c r="X39" s="32">
        <v>46163</v>
      </c>
      <c r="Y39" s="33" t="s">
        <v>40</v>
      </c>
      <c r="Z39" s="19">
        <v>46181</v>
      </c>
      <c r="AA39" s="21"/>
    </row>
    <row r="40" spans="2:27" ht="15.75" customHeight="1" x14ac:dyDescent="0.35">
      <c r="B40" s="11" t="s">
        <v>80</v>
      </c>
      <c r="C40" s="3" t="s">
        <v>125</v>
      </c>
      <c r="D40" s="3" t="s">
        <v>126</v>
      </c>
      <c r="E40" s="3">
        <v>4300035325</v>
      </c>
      <c r="F40" s="3">
        <v>15062560</v>
      </c>
      <c r="G40" s="3" t="s">
        <v>152</v>
      </c>
      <c r="H40" s="3" t="s">
        <v>153</v>
      </c>
      <c r="I40" s="4">
        <v>46066</v>
      </c>
      <c r="J40" s="4">
        <v>46134</v>
      </c>
      <c r="K40" s="11" t="s">
        <v>37</v>
      </c>
      <c r="L40" s="5">
        <v>1</v>
      </c>
      <c r="M40" s="5">
        <v>1</v>
      </c>
      <c r="N40" s="13">
        <f t="shared" si="6"/>
        <v>1</v>
      </c>
      <c r="O40" s="14">
        <v>1455.7</v>
      </c>
      <c r="P40" s="15">
        <f t="shared" si="7"/>
        <v>1455.7</v>
      </c>
      <c r="Q40" s="11" t="s">
        <v>129</v>
      </c>
      <c r="R40" s="16" t="s">
        <v>38</v>
      </c>
      <c r="S40" s="17">
        <f t="shared" si="8"/>
        <v>68</v>
      </c>
      <c r="T40" s="17" t="str">
        <f t="shared" si="9"/>
        <v>02/2026</v>
      </c>
      <c r="U40" s="17" t="str">
        <f t="shared" si="10"/>
        <v>05/2026</v>
      </c>
      <c r="V40" s="18">
        <f t="shared" si="11"/>
        <v>0</v>
      </c>
      <c r="W40" s="11" t="s">
        <v>39</v>
      </c>
      <c r="X40" s="19">
        <v>46132</v>
      </c>
      <c r="Y40" s="20" t="s">
        <v>491</v>
      </c>
      <c r="Z40" s="19"/>
      <c r="AA40" s="21" t="s">
        <v>130</v>
      </c>
    </row>
    <row r="41" spans="2:27" ht="15.75" customHeight="1" x14ac:dyDescent="0.35">
      <c r="B41" s="22" t="s">
        <v>41</v>
      </c>
      <c r="C41" s="23" t="s">
        <v>125</v>
      </c>
      <c r="D41" s="23" t="s">
        <v>126</v>
      </c>
      <c r="E41" s="23">
        <v>4300035325</v>
      </c>
      <c r="F41" s="23">
        <v>15652160</v>
      </c>
      <c r="G41" s="23" t="s">
        <v>154</v>
      </c>
      <c r="H41" s="23" t="s">
        <v>155</v>
      </c>
      <c r="I41" s="24">
        <v>46066</v>
      </c>
      <c r="J41" s="24">
        <v>46134</v>
      </c>
      <c r="K41" s="22" t="s">
        <v>37</v>
      </c>
      <c r="L41" s="25">
        <v>5</v>
      </c>
      <c r="M41" s="25">
        <v>5</v>
      </c>
      <c r="N41" s="26">
        <f t="shared" si="6"/>
        <v>1</v>
      </c>
      <c r="O41" s="27">
        <v>7.56</v>
      </c>
      <c r="P41" s="28">
        <f t="shared" si="7"/>
        <v>37.799999999999997</v>
      </c>
      <c r="Q41" s="22" t="s">
        <v>129</v>
      </c>
      <c r="R41" s="29" t="s">
        <v>38</v>
      </c>
      <c r="S41" s="30">
        <f t="shared" si="8"/>
        <v>68</v>
      </c>
      <c r="T41" s="30" t="str">
        <f t="shared" si="9"/>
        <v>02/2026</v>
      </c>
      <c r="U41" s="30" t="str">
        <f t="shared" si="10"/>
        <v>05/2026</v>
      </c>
      <c r="V41" s="31">
        <f t="shared" si="11"/>
        <v>0</v>
      </c>
      <c r="W41" s="22" t="s">
        <v>39</v>
      </c>
      <c r="X41" s="32">
        <v>46132</v>
      </c>
      <c r="Y41" s="33" t="s">
        <v>491</v>
      </c>
      <c r="Z41" s="32"/>
      <c r="AA41" s="21" t="s">
        <v>130</v>
      </c>
    </row>
    <row r="42" spans="2:27" ht="15.75" customHeight="1" x14ac:dyDescent="0.35">
      <c r="B42" s="11" t="s">
        <v>156</v>
      </c>
      <c r="C42" s="3" t="s">
        <v>125</v>
      </c>
      <c r="D42" s="3" t="s">
        <v>126</v>
      </c>
      <c r="E42" s="3">
        <v>4300035325</v>
      </c>
      <c r="F42" s="3">
        <v>15134397</v>
      </c>
      <c r="G42" s="3" t="s">
        <v>77</v>
      </c>
      <c r="H42" s="12" t="s">
        <v>78</v>
      </c>
      <c r="I42" s="4">
        <v>46066</v>
      </c>
      <c r="J42" s="4">
        <v>46148</v>
      </c>
      <c r="K42" s="11" t="s">
        <v>37</v>
      </c>
      <c r="L42" s="25">
        <v>5</v>
      </c>
      <c r="M42" s="5">
        <v>5</v>
      </c>
      <c r="N42" s="13">
        <f t="shared" si="6"/>
        <v>1</v>
      </c>
      <c r="O42" s="14">
        <v>69.69</v>
      </c>
      <c r="P42" s="15">
        <f t="shared" si="7"/>
        <v>348.45</v>
      </c>
      <c r="Q42" s="11" t="s">
        <v>134</v>
      </c>
      <c r="R42" s="16" t="s">
        <v>38</v>
      </c>
      <c r="S42" s="17" t="str">
        <f t="shared" si="8"/>
        <v>✔ OK</v>
      </c>
      <c r="T42" s="17" t="str">
        <f t="shared" si="9"/>
        <v>02/2026</v>
      </c>
      <c r="U42" s="17" t="str">
        <f t="shared" si="10"/>
        <v>OK</v>
      </c>
      <c r="V42" s="18">
        <f t="shared" si="11"/>
        <v>0</v>
      </c>
      <c r="W42" s="11" t="s">
        <v>39</v>
      </c>
      <c r="X42" s="19">
        <v>46163</v>
      </c>
      <c r="Y42" s="20" t="s">
        <v>40</v>
      </c>
      <c r="Z42" s="19">
        <v>46181</v>
      </c>
      <c r="AA42" s="34"/>
    </row>
    <row r="43" spans="2:27" ht="15.75" customHeight="1" x14ac:dyDescent="0.35">
      <c r="B43" s="22" t="s">
        <v>87</v>
      </c>
      <c r="C43" s="23" t="s">
        <v>125</v>
      </c>
      <c r="D43" s="23" t="s">
        <v>126</v>
      </c>
      <c r="E43" s="23">
        <v>4300035325</v>
      </c>
      <c r="F43" s="23">
        <v>15149497</v>
      </c>
      <c r="G43" s="23" t="s">
        <v>157</v>
      </c>
      <c r="H43" s="23" t="s">
        <v>158</v>
      </c>
      <c r="I43" s="24">
        <v>46066</v>
      </c>
      <c r="J43" s="24">
        <v>46134</v>
      </c>
      <c r="K43" s="22" t="s">
        <v>37</v>
      </c>
      <c r="L43" s="25">
        <v>2</v>
      </c>
      <c r="M43" s="25">
        <v>2</v>
      </c>
      <c r="N43" s="26">
        <f t="shared" si="6"/>
        <v>1</v>
      </c>
      <c r="O43" s="27">
        <v>712.12</v>
      </c>
      <c r="P43" s="28">
        <f t="shared" si="7"/>
        <v>1424.24</v>
      </c>
      <c r="Q43" s="22" t="s">
        <v>129</v>
      </c>
      <c r="R43" s="29" t="s">
        <v>38</v>
      </c>
      <c r="S43" s="30">
        <f t="shared" si="8"/>
        <v>68</v>
      </c>
      <c r="T43" s="30" t="str">
        <f t="shared" si="9"/>
        <v>02/2026</v>
      </c>
      <c r="U43" s="30" t="str">
        <f t="shared" si="10"/>
        <v>05/2026</v>
      </c>
      <c r="V43" s="31">
        <f t="shared" si="11"/>
        <v>0</v>
      </c>
      <c r="W43" s="22" t="s">
        <v>39</v>
      </c>
      <c r="X43" s="32">
        <v>46132</v>
      </c>
      <c r="Y43" s="33" t="s">
        <v>491</v>
      </c>
      <c r="Z43" s="32"/>
      <c r="AA43" s="21" t="s">
        <v>130</v>
      </c>
    </row>
    <row r="44" spans="2:27" ht="15.75" customHeight="1" x14ac:dyDescent="0.35">
      <c r="B44" s="11" t="s">
        <v>118</v>
      </c>
      <c r="C44" s="3" t="s">
        <v>125</v>
      </c>
      <c r="D44" s="3" t="s">
        <v>126</v>
      </c>
      <c r="E44" s="3">
        <v>4300035325</v>
      </c>
      <c r="F44" s="3">
        <v>15119748</v>
      </c>
      <c r="G44" s="3" t="s">
        <v>159</v>
      </c>
      <c r="H44" s="3" t="s">
        <v>160</v>
      </c>
      <c r="I44" s="4">
        <v>46066</v>
      </c>
      <c r="J44" s="4">
        <v>46134</v>
      </c>
      <c r="K44" s="11" t="s">
        <v>37</v>
      </c>
      <c r="L44" s="5">
        <v>1</v>
      </c>
      <c r="M44" s="5">
        <v>1</v>
      </c>
      <c r="N44" s="13">
        <f t="shared" si="6"/>
        <v>1</v>
      </c>
      <c r="O44" s="14">
        <v>853.39</v>
      </c>
      <c r="P44" s="15">
        <f t="shared" si="7"/>
        <v>853.39</v>
      </c>
      <c r="Q44" s="11" t="s">
        <v>129</v>
      </c>
      <c r="R44" s="16" t="s">
        <v>38</v>
      </c>
      <c r="S44" s="17">
        <f t="shared" si="8"/>
        <v>68</v>
      </c>
      <c r="T44" s="17" t="str">
        <f t="shared" si="9"/>
        <v>02/2026</v>
      </c>
      <c r="U44" s="17" t="str">
        <f t="shared" si="10"/>
        <v>05/2026</v>
      </c>
      <c r="V44" s="18">
        <f t="shared" si="11"/>
        <v>0</v>
      </c>
      <c r="W44" s="11" t="s">
        <v>39</v>
      </c>
      <c r="X44" s="19">
        <v>46132</v>
      </c>
      <c r="Y44" s="20" t="s">
        <v>491</v>
      </c>
      <c r="Z44" s="19"/>
      <c r="AA44" s="21" t="s">
        <v>130</v>
      </c>
    </row>
    <row r="45" spans="2:27" ht="15.75" customHeight="1" x14ac:dyDescent="0.35">
      <c r="B45" s="22" t="s">
        <v>73</v>
      </c>
      <c r="C45" s="23" t="s">
        <v>125</v>
      </c>
      <c r="D45" s="23" t="s">
        <v>126</v>
      </c>
      <c r="E45" s="23">
        <v>4300035325</v>
      </c>
      <c r="F45" s="23">
        <v>15505463</v>
      </c>
      <c r="G45" s="23" t="s">
        <v>161</v>
      </c>
      <c r="H45" s="23" t="s">
        <v>162</v>
      </c>
      <c r="I45" s="24">
        <v>46066</v>
      </c>
      <c r="J45" s="24">
        <v>46134</v>
      </c>
      <c r="K45" s="22" t="s">
        <v>37</v>
      </c>
      <c r="L45" s="25">
        <v>1</v>
      </c>
      <c r="M45" s="25">
        <v>1</v>
      </c>
      <c r="N45" s="26">
        <f t="shared" si="6"/>
        <v>1</v>
      </c>
      <c r="O45" s="27">
        <v>1056.5899999999999</v>
      </c>
      <c r="P45" s="28">
        <f t="shared" si="7"/>
        <v>1056.5899999999999</v>
      </c>
      <c r="Q45" s="22" t="s">
        <v>129</v>
      </c>
      <c r="R45" s="29" t="s">
        <v>38</v>
      </c>
      <c r="S45" s="30">
        <f t="shared" si="8"/>
        <v>68</v>
      </c>
      <c r="T45" s="30" t="str">
        <f t="shared" si="9"/>
        <v>02/2026</v>
      </c>
      <c r="U45" s="30" t="str">
        <f t="shared" si="10"/>
        <v>05/2026</v>
      </c>
      <c r="V45" s="31">
        <f t="shared" si="11"/>
        <v>0</v>
      </c>
      <c r="W45" s="22" t="s">
        <v>39</v>
      </c>
      <c r="X45" s="32">
        <v>46132</v>
      </c>
      <c r="Y45" s="33" t="s">
        <v>491</v>
      </c>
      <c r="Z45" s="32"/>
      <c r="AA45" s="21" t="s">
        <v>130</v>
      </c>
    </row>
    <row r="46" spans="2:27" ht="15.75" customHeight="1" x14ac:dyDescent="0.35">
      <c r="B46" s="11" t="s">
        <v>123</v>
      </c>
      <c r="C46" s="3" t="s">
        <v>125</v>
      </c>
      <c r="D46" s="3" t="s">
        <v>126</v>
      </c>
      <c r="E46" s="3">
        <v>4300035325</v>
      </c>
      <c r="F46" s="3">
        <v>15055683</v>
      </c>
      <c r="G46" s="3" t="s">
        <v>132</v>
      </c>
      <c r="H46" s="3" t="s">
        <v>133</v>
      </c>
      <c r="I46" s="4">
        <v>46066</v>
      </c>
      <c r="J46" s="4">
        <v>46134</v>
      </c>
      <c r="K46" s="11" t="s">
        <v>37</v>
      </c>
      <c r="L46" s="5">
        <v>1</v>
      </c>
      <c r="M46" s="5">
        <v>1</v>
      </c>
      <c r="N46" s="13">
        <f t="shared" si="6"/>
        <v>1</v>
      </c>
      <c r="O46" s="14">
        <v>1044.3399999999999</v>
      </c>
      <c r="P46" s="15">
        <f t="shared" si="7"/>
        <v>1044.3399999999999</v>
      </c>
      <c r="Q46" s="11" t="s">
        <v>129</v>
      </c>
      <c r="R46" s="16" t="s">
        <v>38</v>
      </c>
      <c r="S46" s="17" t="str">
        <f t="shared" si="8"/>
        <v>✔ OK</v>
      </c>
      <c r="T46" s="17" t="str">
        <f t="shared" si="9"/>
        <v>02/2026</v>
      </c>
      <c r="U46" s="17" t="str">
        <f t="shared" si="10"/>
        <v>OK</v>
      </c>
      <c r="V46" s="18">
        <f t="shared" si="11"/>
        <v>0</v>
      </c>
      <c r="W46" s="11" t="s">
        <v>39</v>
      </c>
      <c r="X46" s="19">
        <v>46132</v>
      </c>
      <c r="Y46" s="20" t="s">
        <v>40</v>
      </c>
      <c r="Z46" s="19">
        <v>46181</v>
      </c>
      <c r="AA46" s="47"/>
    </row>
    <row r="47" spans="2:27" ht="15.75" customHeight="1" x14ac:dyDescent="0.35">
      <c r="B47" s="22" t="s">
        <v>91</v>
      </c>
      <c r="C47" s="23" t="s">
        <v>163</v>
      </c>
      <c r="D47" s="23" t="s">
        <v>164</v>
      </c>
      <c r="E47" s="23">
        <v>4300035558</v>
      </c>
      <c r="F47" s="23">
        <v>15348604</v>
      </c>
      <c r="G47" s="23" t="s">
        <v>165</v>
      </c>
      <c r="H47" s="23" t="s">
        <v>166</v>
      </c>
      <c r="I47" s="24">
        <v>46077</v>
      </c>
      <c r="J47" s="24">
        <v>46148</v>
      </c>
      <c r="K47" s="22" t="s">
        <v>37</v>
      </c>
      <c r="L47" s="25">
        <v>4</v>
      </c>
      <c r="M47" s="25">
        <v>4</v>
      </c>
      <c r="N47" s="26">
        <f t="shared" si="6"/>
        <v>1</v>
      </c>
      <c r="O47" s="27">
        <v>95.8</v>
      </c>
      <c r="P47" s="28">
        <f t="shared" si="7"/>
        <v>383.2</v>
      </c>
      <c r="Q47" s="22" t="s">
        <v>167</v>
      </c>
      <c r="R47" s="29" t="s">
        <v>38</v>
      </c>
      <c r="S47" s="30" t="str">
        <f t="shared" si="8"/>
        <v>✔ OK</v>
      </c>
      <c r="T47" s="30" t="str">
        <f t="shared" si="9"/>
        <v>02/2026</v>
      </c>
      <c r="U47" s="30" t="str">
        <f t="shared" si="10"/>
        <v>OK</v>
      </c>
      <c r="V47" s="31">
        <f t="shared" si="11"/>
        <v>0</v>
      </c>
      <c r="W47" s="22" t="s">
        <v>39</v>
      </c>
      <c r="X47" s="32">
        <v>46163</v>
      </c>
      <c r="Y47" s="33" t="s">
        <v>40</v>
      </c>
      <c r="Z47" s="32">
        <v>46181</v>
      </c>
      <c r="AA47" s="34"/>
    </row>
    <row r="48" spans="2:27" ht="15.75" customHeight="1" x14ac:dyDescent="0.35">
      <c r="B48" s="11" t="s">
        <v>33</v>
      </c>
      <c r="C48" s="3" t="s">
        <v>163</v>
      </c>
      <c r="D48" s="3" t="s">
        <v>164</v>
      </c>
      <c r="E48" s="3">
        <v>4300035558</v>
      </c>
      <c r="F48" s="3">
        <v>15383260</v>
      </c>
      <c r="G48" s="3" t="s">
        <v>168</v>
      </c>
      <c r="H48" s="3" t="s">
        <v>169</v>
      </c>
      <c r="I48" s="4">
        <v>46077</v>
      </c>
      <c r="J48" s="4">
        <v>46155</v>
      </c>
      <c r="K48" s="11" t="s">
        <v>37</v>
      </c>
      <c r="L48" s="5">
        <v>4</v>
      </c>
      <c r="M48" s="5">
        <v>4</v>
      </c>
      <c r="N48" s="13">
        <f t="shared" si="6"/>
        <v>1</v>
      </c>
      <c r="O48" s="14">
        <v>730.28</v>
      </c>
      <c r="P48" s="15">
        <f t="shared" si="7"/>
        <v>2921.12</v>
      </c>
      <c r="Q48" s="11" t="s">
        <v>167</v>
      </c>
      <c r="R48" s="16" t="s">
        <v>38</v>
      </c>
      <c r="S48" s="17" t="str">
        <f t="shared" si="8"/>
        <v>✔ OK</v>
      </c>
      <c r="T48" s="17" t="str">
        <f t="shared" si="9"/>
        <v>02/2026</v>
      </c>
      <c r="U48" s="17" t="str">
        <f t="shared" si="10"/>
        <v>OK</v>
      </c>
      <c r="V48" s="18">
        <f t="shared" si="11"/>
        <v>0</v>
      </c>
      <c r="W48" s="11" t="s">
        <v>39</v>
      </c>
      <c r="X48" s="19">
        <v>46163</v>
      </c>
      <c r="Y48" s="20" t="s">
        <v>40</v>
      </c>
      <c r="Z48" s="19">
        <v>46181</v>
      </c>
      <c r="AA48" s="34"/>
    </row>
    <row r="49" spans="2:27" ht="15.75" customHeight="1" x14ac:dyDescent="0.35">
      <c r="B49" s="22" t="s">
        <v>170</v>
      </c>
      <c r="C49" s="23" t="s">
        <v>163</v>
      </c>
      <c r="D49" s="23" t="s">
        <v>164</v>
      </c>
      <c r="E49" s="23">
        <v>4300035558</v>
      </c>
      <c r="F49" s="23">
        <v>15383260</v>
      </c>
      <c r="G49" s="23" t="s">
        <v>168</v>
      </c>
      <c r="H49" s="23" t="s">
        <v>169</v>
      </c>
      <c r="I49" s="24">
        <v>46077</v>
      </c>
      <c r="J49" s="24">
        <v>46155</v>
      </c>
      <c r="K49" s="22" t="s">
        <v>37</v>
      </c>
      <c r="L49" s="25">
        <v>3</v>
      </c>
      <c r="M49" s="25">
        <v>3</v>
      </c>
      <c r="N49" s="26">
        <f t="shared" si="6"/>
        <v>1</v>
      </c>
      <c r="O49" s="27">
        <v>730.28</v>
      </c>
      <c r="P49" s="28">
        <f t="shared" si="7"/>
        <v>2190.84</v>
      </c>
      <c r="Q49" s="22" t="s">
        <v>167</v>
      </c>
      <c r="R49" s="29" t="s">
        <v>38</v>
      </c>
      <c r="S49" s="30" t="str">
        <f t="shared" si="8"/>
        <v>✔ OK</v>
      </c>
      <c r="T49" s="30" t="str">
        <f t="shared" si="9"/>
        <v>02/2026</v>
      </c>
      <c r="U49" s="30" t="str">
        <f t="shared" si="10"/>
        <v>OK</v>
      </c>
      <c r="V49" s="31">
        <f t="shared" si="11"/>
        <v>0</v>
      </c>
      <c r="W49" s="22" t="s">
        <v>39</v>
      </c>
      <c r="X49" s="32">
        <v>46163</v>
      </c>
      <c r="Y49" s="33" t="s">
        <v>40</v>
      </c>
      <c r="Z49" s="32">
        <v>46181</v>
      </c>
      <c r="AA49" s="34"/>
    </row>
    <row r="50" spans="2:27" ht="15.75" customHeight="1" x14ac:dyDescent="0.35">
      <c r="B50" s="11" t="s">
        <v>80</v>
      </c>
      <c r="C50" s="3" t="s">
        <v>163</v>
      </c>
      <c r="D50" s="3" t="s">
        <v>164</v>
      </c>
      <c r="E50" s="3">
        <v>4300035558</v>
      </c>
      <c r="F50" s="3">
        <v>15153689</v>
      </c>
      <c r="G50" s="3" t="s">
        <v>171</v>
      </c>
      <c r="H50" s="3" t="s">
        <v>172</v>
      </c>
      <c r="I50" s="4">
        <v>46077</v>
      </c>
      <c r="J50" s="4">
        <v>46169</v>
      </c>
      <c r="K50" s="11" t="s">
        <v>37</v>
      </c>
      <c r="L50" s="5">
        <v>1</v>
      </c>
      <c r="M50" s="5">
        <v>1</v>
      </c>
      <c r="N50" s="13">
        <f t="shared" si="6"/>
        <v>1</v>
      </c>
      <c r="O50" s="14">
        <v>1379.51</v>
      </c>
      <c r="P50" s="15">
        <f t="shared" si="7"/>
        <v>1379.51</v>
      </c>
      <c r="Q50" s="11" t="s">
        <v>173</v>
      </c>
      <c r="R50" s="16" t="s">
        <v>38</v>
      </c>
      <c r="S50" s="17">
        <f t="shared" si="8"/>
        <v>92</v>
      </c>
      <c r="T50" s="17" t="str">
        <f t="shared" si="9"/>
        <v>02/2026</v>
      </c>
      <c r="U50" s="17" t="str">
        <f t="shared" si="10"/>
        <v>06/2026</v>
      </c>
      <c r="V50" s="18">
        <f t="shared" si="11"/>
        <v>0</v>
      </c>
      <c r="W50" s="11" t="s">
        <v>39</v>
      </c>
      <c r="X50" s="19">
        <v>46163</v>
      </c>
      <c r="Y50" s="20" t="s">
        <v>491</v>
      </c>
      <c r="Z50" s="19"/>
      <c r="AA50" s="21" t="s">
        <v>130</v>
      </c>
    </row>
    <row r="51" spans="2:27" ht="15.75" customHeight="1" x14ac:dyDescent="0.35">
      <c r="B51" s="22" t="s">
        <v>41</v>
      </c>
      <c r="C51" s="23" t="s">
        <v>163</v>
      </c>
      <c r="D51" s="23" t="s">
        <v>164</v>
      </c>
      <c r="E51" s="23">
        <v>4300035558</v>
      </c>
      <c r="F51" s="23">
        <v>15174197</v>
      </c>
      <c r="G51" s="23" t="s">
        <v>174</v>
      </c>
      <c r="H51" s="23" t="s">
        <v>175</v>
      </c>
      <c r="I51" s="24">
        <v>46077</v>
      </c>
      <c r="J51" s="24">
        <v>46080</v>
      </c>
      <c r="K51" s="22" t="s">
        <v>113</v>
      </c>
      <c r="L51" s="25">
        <v>2</v>
      </c>
      <c r="M51" s="25">
        <v>2</v>
      </c>
      <c r="N51" s="26">
        <f t="shared" si="6"/>
        <v>1</v>
      </c>
      <c r="O51" s="27">
        <v>51.82</v>
      </c>
      <c r="P51" s="28">
        <f t="shared" si="7"/>
        <v>103.64</v>
      </c>
      <c r="Q51" s="22" t="s">
        <v>176</v>
      </c>
      <c r="R51" s="29" t="s">
        <v>38</v>
      </c>
      <c r="S51" s="30" t="str">
        <f t="shared" si="8"/>
        <v>✔ OK</v>
      </c>
      <c r="T51" s="30" t="str">
        <f t="shared" si="9"/>
        <v>02/2026</v>
      </c>
      <c r="U51" s="30" t="str">
        <f t="shared" si="10"/>
        <v>OK</v>
      </c>
      <c r="V51" s="31">
        <f t="shared" si="11"/>
        <v>0</v>
      </c>
      <c r="W51" s="22" t="s">
        <v>39</v>
      </c>
      <c r="X51" s="32">
        <v>46128</v>
      </c>
      <c r="Y51" s="33" t="s">
        <v>40</v>
      </c>
      <c r="Z51" s="32">
        <v>46195</v>
      </c>
      <c r="AA51" s="41"/>
    </row>
    <row r="52" spans="2:27" ht="15.75" customHeight="1" x14ac:dyDescent="0.35">
      <c r="B52" s="11" t="s">
        <v>50</v>
      </c>
      <c r="C52" s="3" t="s">
        <v>125</v>
      </c>
      <c r="D52" s="3" t="s">
        <v>126</v>
      </c>
      <c r="E52" s="3">
        <v>4300035325</v>
      </c>
      <c r="F52" s="3">
        <v>15392508</v>
      </c>
      <c r="G52" s="3" t="s">
        <v>177</v>
      </c>
      <c r="H52" s="3" t="s">
        <v>178</v>
      </c>
      <c r="I52" s="4">
        <v>46066</v>
      </c>
      <c r="J52" s="4">
        <v>46134</v>
      </c>
      <c r="K52" s="11" t="s">
        <v>37</v>
      </c>
      <c r="L52" s="5">
        <v>1</v>
      </c>
      <c r="M52" s="5">
        <v>1</v>
      </c>
      <c r="N52" s="13">
        <f t="shared" si="6"/>
        <v>1</v>
      </c>
      <c r="O52" s="14">
        <v>659.88</v>
      </c>
      <c r="P52" s="15">
        <f t="shared" si="7"/>
        <v>659.88</v>
      </c>
      <c r="Q52" s="11" t="s">
        <v>129</v>
      </c>
      <c r="R52" s="16" t="s">
        <v>38</v>
      </c>
      <c r="S52" s="17">
        <f t="shared" si="8"/>
        <v>68</v>
      </c>
      <c r="T52" s="17" t="str">
        <f t="shared" si="9"/>
        <v>02/2026</v>
      </c>
      <c r="U52" s="17" t="str">
        <f t="shared" si="10"/>
        <v>05/2026</v>
      </c>
      <c r="V52" s="18">
        <f t="shared" si="11"/>
        <v>0</v>
      </c>
      <c r="W52" s="11" t="s">
        <v>39</v>
      </c>
      <c r="X52" s="19">
        <v>46132</v>
      </c>
      <c r="Y52" s="20" t="s">
        <v>491</v>
      </c>
      <c r="Z52" s="19"/>
      <c r="AA52" s="21" t="s">
        <v>130</v>
      </c>
    </row>
    <row r="53" spans="2:27" ht="15.75" customHeight="1" x14ac:dyDescent="0.35">
      <c r="B53" s="22" t="s">
        <v>91</v>
      </c>
      <c r="C53" s="23" t="s">
        <v>125</v>
      </c>
      <c r="D53" s="23" t="s">
        <v>126</v>
      </c>
      <c r="E53" s="23">
        <v>4300035325</v>
      </c>
      <c r="F53" s="23">
        <v>15130069</v>
      </c>
      <c r="G53" s="23" t="s">
        <v>179</v>
      </c>
      <c r="H53" s="23" t="s">
        <v>180</v>
      </c>
      <c r="I53" s="24">
        <v>46066</v>
      </c>
      <c r="J53" s="24">
        <v>46134</v>
      </c>
      <c r="K53" s="22" t="s">
        <v>37</v>
      </c>
      <c r="L53" s="25">
        <v>1</v>
      </c>
      <c r="M53" s="25">
        <v>1</v>
      </c>
      <c r="N53" s="26">
        <f t="shared" si="6"/>
        <v>1</v>
      </c>
      <c r="O53" s="27">
        <v>30.44</v>
      </c>
      <c r="P53" s="28">
        <f t="shared" si="7"/>
        <v>30.44</v>
      </c>
      <c r="Q53" s="22" t="s">
        <v>129</v>
      </c>
      <c r="R53" s="29" t="s">
        <v>38</v>
      </c>
      <c r="S53" s="30">
        <f t="shared" si="8"/>
        <v>68</v>
      </c>
      <c r="T53" s="30" t="str">
        <f t="shared" si="9"/>
        <v>02/2026</v>
      </c>
      <c r="U53" s="30" t="str">
        <f t="shared" si="10"/>
        <v>05/2026</v>
      </c>
      <c r="V53" s="31">
        <f t="shared" si="11"/>
        <v>0</v>
      </c>
      <c r="W53" s="22" t="s">
        <v>39</v>
      </c>
      <c r="X53" s="32">
        <v>46132</v>
      </c>
      <c r="Y53" s="33" t="s">
        <v>491</v>
      </c>
      <c r="Z53" s="32"/>
      <c r="AA53" s="21" t="s">
        <v>130</v>
      </c>
    </row>
    <row r="54" spans="2:27" ht="15.75" customHeight="1" x14ac:dyDescent="0.35">
      <c r="B54" s="11" t="s">
        <v>33</v>
      </c>
      <c r="C54" s="3" t="s">
        <v>125</v>
      </c>
      <c r="D54" s="3" t="s">
        <v>126</v>
      </c>
      <c r="E54" s="3">
        <v>4300035325</v>
      </c>
      <c r="F54" s="3">
        <v>15003876</v>
      </c>
      <c r="G54" s="3" t="s">
        <v>181</v>
      </c>
      <c r="H54" s="3" t="s">
        <v>182</v>
      </c>
      <c r="I54" s="4">
        <v>46066</v>
      </c>
      <c r="J54" s="4">
        <v>46134</v>
      </c>
      <c r="K54" s="11" t="s">
        <v>37</v>
      </c>
      <c r="L54" s="5">
        <v>1</v>
      </c>
      <c r="M54" s="5">
        <v>1</v>
      </c>
      <c r="N54" s="13">
        <f t="shared" si="6"/>
        <v>1</v>
      </c>
      <c r="O54" s="14">
        <v>120.38</v>
      </c>
      <c r="P54" s="15">
        <f t="shared" si="7"/>
        <v>120.38</v>
      </c>
      <c r="Q54" s="11" t="s">
        <v>129</v>
      </c>
      <c r="R54" s="16" t="s">
        <v>38</v>
      </c>
      <c r="S54" s="17">
        <f t="shared" si="8"/>
        <v>68</v>
      </c>
      <c r="T54" s="17" t="str">
        <f t="shared" si="9"/>
        <v>02/2026</v>
      </c>
      <c r="U54" s="17" t="str">
        <f t="shared" si="10"/>
        <v>05/2026</v>
      </c>
      <c r="V54" s="18">
        <f t="shared" si="11"/>
        <v>0</v>
      </c>
      <c r="W54" s="11" t="s">
        <v>39</v>
      </c>
      <c r="X54" s="19">
        <v>46132</v>
      </c>
      <c r="Y54" s="20" t="s">
        <v>491</v>
      </c>
      <c r="Z54" s="19"/>
      <c r="AA54" s="21" t="s">
        <v>130</v>
      </c>
    </row>
    <row r="55" spans="2:27" ht="15.75" customHeight="1" x14ac:dyDescent="0.35">
      <c r="B55" s="22" t="s">
        <v>33</v>
      </c>
      <c r="C55" s="23" t="s">
        <v>92</v>
      </c>
      <c r="D55" s="23" t="s">
        <v>93</v>
      </c>
      <c r="E55" s="23">
        <v>4300034374</v>
      </c>
      <c r="F55" s="23">
        <v>15156479</v>
      </c>
      <c r="G55" s="23" t="s">
        <v>171</v>
      </c>
      <c r="H55" s="23" t="s">
        <v>183</v>
      </c>
      <c r="I55" s="24">
        <v>46113</v>
      </c>
      <c r="J55" s="24">
        <v>46197</v>
      </c>
      <c r="K55" s="22" t="s">
        <v>37</v>
      </c>
      <c r="L55" s="25">
        <v>6</v>
      </c>
      <c r="M55" s="25">
        <v>6</v>
      </c>
      <c r="N55" s="26">
        <f t="shared" si="6"/>
        <v>1</v>
      </c>
      <c r="O55" s="27">
        <v>1241.56</v>
      </c>
      <c r="P55" s="28">
        <f t="shared" si="7"/>
        <v>7449.36</v>
      </c>
      <c r="Q55" s="22">
        <v>12755</v>
      </c>
      <c r="R55" s="48" t="s">
        <v>38</v>
      </c>
      <c r="S55" s="30" t="str">
        <f t="shared" si="8"/>
        <v>✔ OK</v>
      </c>
      <c r="T55" s="30" t="str">
        <f t="shared" si="9"/>
        <v>04/2026</v>
      </c>
      <c r="U55" s="30" t="str">
        <f t="shared" si="10"/>
        <v>OK</v>
      </c>
      <c r="V55" s="31">
        <f t="shared" si="11"/>
        <v>0</v>
      </c>
      <c r="W55" s="22" t="s">
        <v>39</v>
      </c>
      <c r="X55" s="32">
        <v>46175</v>
      </c>
      <c r="Y55" s="33" t="s">
        <v>40</v>
      </c>
      <c r="Z55" s="32">
        <v>46195</v>
      </c>
      <c r="AA55" s="34"/>
    </row>
    <row r="56" spans="2:27" ht="15.75" customHeight="1" x14ac:dyDescent="0.35">
      <c r="B56" s="11" t="s">
        <v>80</v>
      </c>
      <c r="C56" s="3" t="s">
        <v>92</v>
      </c>
      <c r="D56" s="3" t="s">
        <v>93</v>
      </c>
      <c r="E56" s="3">
        <v>4300034374</v>
      </c>
      <c r="F56" s="3">
        <v>15056773</v>
      </c>
      <c r="G56" s="3" t="s">
        <v>184</v>
      </c>
      <c r="H56" s="3" t="s">
        <v>185</v>
      </c>
      <c r="I56" s="4">
        <v>46113</v>
      </c>
      <c r="J56" s="4">
        <v>46183</v>
      </c>
      <c r="K56" s="11" t="s">
        <v>37</v>
      </c>
      <c r="L56" s="5">
        <v>2</v>
      </c>
      <c r="M56" s="5">
        <v>2</v>
      </c>
      <c r="N56" s="13">
        <f t="shared" si="6"/>
        <v>1</v>
      </c>
      <c r="O56" s="14">
        <v>478.59</v>
      </c>
      <c r="P56" s="15">
        <f t="shared" si="7"/>
        <v>957.18</v>
      </c>
      <c r="Q56" s="11">
        <v>12755</v>
      </c>
      <c r="R56" s="49" t="s">
        <v>38</v>
      </c>
      <c r="S56" s="17" t="str">
        <f t="shared" si="8"/>
        <v>✔ OK</v>
      </c>
      <c r="T56" s="17" t="str">
        <f t="shared" si="9"/>
        <v>04/2026</v>
      </c>
      <c r="U56" s="17" t="str">
        <f t="shared" si="10"/>
        <v>OK</v>
      </c>
      <c r="V56" s="18">
        <f t="shared" si="11"/>
        <v>0</v>
      </c>
      <c r="W56" s="11" t="s">
        <v>39</v>
      </c>
      <c r="X56" s="19">
        <v>46175</v>
      </c>
      <c r="Y56" s="20" t="s">
        <v>40</v>
      </c>
      <c r="Z56" s="19">
        <v>46195</v>
      </c>
      <c r="AA56" s="21"/>
    </row>
    <row r="57" spans="2:27" ht="15.75" customHeight="1" x14ac:dyDescent="0.35">
      <c r="B57" s="22" t="s">
        <v>41</v>
      </c>
      <c r="C57" s="23" t="s">
        <v>92</v>
      </c>
      <c r="D57" s="23" t="s">
        <v>93</v>
      </c>
      <c r="E57" s="23">
        <v>4300034374</v>
      </c>
      <c r="F57" s="23">
        <v>15374830</v>
      </c>
      <c r="G57" s="23" t="s">
        <v>186</v>
      </c>
      <c r="H57" s="23" t="s">
        <v>187</v>
      </c>
      <c r="I57" s="24">
        <v>46113</v>
      </c>
      <c r="J57" s="24">
        <v>46183</v>
      </c>
      <c r="K57" s="22" t="s">
        <v>37</v>
      </c>
      <c r="L57" s="25">
        <v>1</v>
      </c>
      <c r="M57" s="25">
        <v>1</v>
      </c>
      <c r="N57" s="26">
        <f t="shared" si="6"/>
        <v>1</v>
      </c>
      <c r="O57" s="27">
        <v>54.47</v>
      </c>
      <c r="P57" s="28">
        <f t="shared" si="7"/>
        <v>54.47</v>
      </c>
      <c r="Q57" s="22">
        <v>12755</v>
      </c>
      <c r="R57" s="48" t="s">
        <v>38</v>
      </c>
      <c r="S57" s="30" t="str">
        <f t="shared" si="8"/>
        <v>✔ OK</v>
      </c>
      <c r="T57" s="30" t="str">
        <f t="shared" si="9"/>
        <v>04/2026</v>
      </c>
      <c r="U57" s="30" t="str">
        <f t="shared" si="10"/>
        <v>OK</v>
      </c>
      <c r="V57" s="31">
        <f t="shared" si="11"/>
        <v>0</v>
      </c>
      <c r="W57" s="22" t="s">
        <v>39</v>
      </c>
      <c r="X57" s="32">
        <v>46175</v>
      </c>
      <c r="Y57" s="33" t="s">
        <v>40</v>
      </c>
      <c r="Z57" s="32">
        <v>46195</v>
      </c>
      <c r="AA57" s="34"/>
    </row>
    <row r="58" spans="2:27" ht="15.75" customHeight="1" x14ac:dyDescent="0.35">
      <c r="B58" s="11" t="s">
        <v>46</v>
      </c>
      <c r="C58" s="3" t="s">
        <v>92</v>
      </c>
      <c r="D58" s="3" t="s">
        <v>93</v>
      </c>
      <c r="E58" s="3">
        <v>4300034374</v>
      </c>
      <c r="F58" s="3">
        <v>13061642</v>
      </c>
      <c r="G58" s="3" t="s">
        <v>144</v>
      </c>
      <c r="H58" s="12" t="s">
        <v>145</v>
      </c>
      <c r="I58" s="4">
        <v>46113</v>
      </c>
      <c r="J58" s="4">
        <v>46183</v>
      </c>
      <c r="K58" s="11" t="s">
        <v>37</v>
      </c>
      <c r="L58" s="5">
        <v>19</v>
      </c>
      <c r="M58" s="5">
        <v>19</v>
      </c>
      <c r="N58" s="13">
        <f t="shared" si="6"/>
        <v>1</v>
      </c>
      <c r="O58" s="14">
        <v>7.65</v>
      </c>
      <c r="P58" s="15">
        <f t="shared" si="7"/>
        <v>145.35</v>
      </c>
      <c r="Q58" s="11">
        <v>12755</v>
      </c>
      <c r="R58" s="49" t="s">
        <v>38</v>
      </c>
      <c r="S58" s="17" t="str">
        <f t="shared" si="8"/>
        <v>✔ OK</v>
      </c>
      <c r="T58" s="17" t="str">
        <f t="shared" si="9"/>
        <v>04/2026</v>
      </c>
      <c r="U58" s="17" t="str">
        <f t="shared" si="10"/>
        <v>OK</v>
      </c>
      <c r="V58" s="18">
        <f t="shared" si="11"/>
        <v>0</v>
      </c>
      <c r="W58" s="11" t="s">
        <v>39</v>
      </c>
      <c r="X58" s="19">
        <v>46175</v>
      </c>
      <c r="Y58" s="20" t="s">
        <v>40</v>
      </c>
      <c r="Z58" s="19">
        <v>46195</v>
      </c>
      <c r="AA58" s="21"/>
    </row>
    <row r="59" spans="2:27" ht="15.75" customHeight="1" x14ac:dyDescent="0.35">
      <c r="B59" s="22" t="s">
        <v>118</v>
      </c>
      <c r="C59" s="23" t="s">
        <v>92</v>
      </c>
      <c r="D59" s="23" t="s">
        <v>93</v>
      </c>
      <c r="E59" s="23">
        <v>4300034374</v>
      </c>
      <c r="F59" s="23">
        <v>13037709</v>
      </c>
      <c r="G59" s="23" t="s">
        <v>188</v>
      </c>
      <c r="H59" s="23" t="s">
        <v>189</v>
      </c>
      <c r="I59" s="24">
        <v>46113</v>
      </c>
      <c r="J59" s="24">
        <v>46183</v>
      </c>
      <c r="K59" s="22" t="s">
        <v>37</v>
      </c>
      <c r="L59" s="25">
        <v>1</v>
      </c>
      <c r="M59" s="25">
        <v>1</v>
      </c>
      <c r="N59" s="26">
        <f t="shared" si="6"/>
        <v>1</v>
      </c>
      <c r="O59" s="27">
        <v>21.67</v>
      </c>
      <c r="P59" s="28">
        <f t="shared" si="7"/>
        <v>21.67</v>
      </c>
      <c r="Q59" s="22">
        <v>12755</v>
      </c>
      <c r="R59" s="48" t="s">
        <v>38</v>
      </c>
      <c r="S59" s="30" t="str">
        <f t="shared" si="8"/>
        <v>✔ OK</v>
      </c>
      <c r="T59" s="30" t="str">
        <f t="shared" si="9"/>
        <v>04/2026</v>
      </c>
      <c r="U59" s="30" t="str">
        <f t="shared" si="10"/>
        <v>OK</v>
      </c>
      <c r="V59" s="31">
        <f t="shared" si="11"/>
        <v>0</v>
      </c>
      <c r="W59" s="22" t="s">
        <v>39</v>
      </c>
      <c r="X59" s="32">
        <v>46175</v>
      </c>
      <c r="Y59" s="33" t="s">
        <v>40</v>
      </c>
      <c r="Z59" s="32">
        <v>46195</v>
      </c>
      <c r="AA59" s="34"/>
    </row>
    <row r="60" spans="2:27" ht="15.75" customHeight="1" x14ac:dyDescent="0.35">
      <c r="B60" s="11" t="s">
        <v>131</v>
      </c>
      <c r="C60" s="3" t="s">
        <v>103</v>
      </c>
      <c r="D60" s="3" t="s">
        <v>104</v>
      </c>
      <c r="E60" s="3">
        <v>4300036353</v>
      </c>
      <c r="F60" s="3">
        <v>15047773</v>
      </c>
      <c r="G60" s="3" t="s">
        <v>190</v>
      </c>
      <c r="H60" s="12" t="s">
        <v>191</v>
      </c>
      <c r="I60" s="4">
        <v>46100</v>
      </c>
      <c r="J60" s="4">
        <v>46225</v>
      </c>
      <c r="K60" s="11" t="s">
        <v>37</v>
      </c>
      <c r="L60" s="5">
        <v>4</v>
      </c>
      <c r="M60" s="5">
        <v>4</v>
      </c>
      <c r="N60" s="13">
        <f t="shared" si="6"/>
        <v>1</v>
      </c>
      <c r="O60" s="14">
        <v>186.13</v>
      </c>
      <c r="P60" s="15">
        <f t="shared" si="7"/>
        <v>744.52</v>
      </c>
      <c r="Q60" s="11" t="s">
        <v>67</v>
      </c>
      <c r="R60" s="49" t="s">
        <v>68</v>
      </c>
      <c r="S60" s="17">
        <f t="shared" si="8"/>
        <v>125</v>
      </c>
      <c r="T60" s="17" t="str">
        <f t="shared" si="9"/>
        <v>03/2026</v>
      </c>
      <c r="U60" s="17" t="str">
        <f t="shared" si="10"/>
        <v>08/2026</v>
      </c>
      <c r="V60" s="18">
        <f t="shared" si="11"/>
        <v>0</v>
      </c>
      <c r="W60" s="11" t="s">
        <v>39</v>
      </c>
      <c r="X60" s="19"/>
      <c r="Y60" s="20" t="s">
        <v>55</v>
      </c>
      <c r="Z60" s="19"/>
      <c r="AA60" s="40" t="s">
        <v>90</v>
      </c>
    </row>
    <row r="61" spans="2:27" ht="15.75" customHeight="1" x14ac:dyDescent="0.35">
      <c r="B61" s="22" t="s">
        <v>192</v>
      </c>
      <c r="C61" s="23" t="s">
        <v>63</v>
      </c>
      <c r="D61" s="23" t="s">
        <v>64</v>
      </c>
      <c r="E61" s="23"/>
      <c r="F61" s="23">
        <v>16177612</v>
      </c>
      <c r="G61" s="23" t="s">
        <v>193</v>
      </c>
      <c r="H61" s="35" t="s">
        <v>194</v>
      </c>
      <c r="I61" s="24">
        <v>46161</v>
      </c>
      <c r="J61" s="24">
        <v>46225</v>
      </c>
      <c r="K61" s="22" t="s">
        <v>37</v>
      </c>
      <c r="L61" s="25">
        <v>1</v>
      </c>
      <c r="M61" s="25">
        <v>1</v>
      </c>
      <c r="N61" s="26">
        <f t="shared" si="6"/>
        <v>1</v>
      </c>
      <c r="O61" s="27">
        <v>112.33</v>
      </c>
      <c r="P61" s="28">
        <f t="shared" si="7"/>
        <v>112.33</v>
      </c>
      <c r="Q61" s="22" t="s">
        <v>67</v>
      </c>
      <c r="R61" s="50" t="s">
        <v>68</v>
      </c>
      <c r="S61" s="30">
        <f t="shared" si="8"/>
        <v>64</v>
      </c>
      <c r="T61" s="30" t="str">
        <f t="shared" si="9"/>
        <v>05/2026</v>
      </c>
      <c r="U61" s="30" t="str">
        <f t="shared" si="10"/>
        <v>08/2026</v>
      </c>
      <c r="V61" s="31">
        <f t="shared" si="11"/>
        <v>0</v>
      </c>
      <c r="W61" s="22" t="s">
        <v>39</v>
      </c>
      <c r="X61" s="32"/>
      <c r="Y61" s="33" t="s">
        <v>55</v>
      </c>
      <c r="Z61" s="32"/>
      <c r="AA61" s="41" t="s">
        <v>195</v>
      </c>
    </row>
    <row r="62" spans="2:27" ht="15.75" customHeight="1" x14ac:dyDescent="0.35">
      <c r="B62" s="11" t="s">
        <v>196</v>
      </c>
      <c r="C62" s="3" t="s">
        <v>63</v>
      </c>
      <c r="D62" s="3" t="s">
        <v>64</v>
      </c>
      <c r="E62" s="3"/>
      <c r="F62" s="3">
        <v>16177612</v>
      </c>
      <c r="G62" s="3" t="s">
        <v>193</v>
      </c>
      <c r="H62" s="12" t="s">
        <v>194</v>
      </c>
      <c r="I62" s="4">
        <v>46161</v>
      </c>
      <c r="J62" s="4">
        <v>46225</v>
      </c>
      <c r="K62" s="11" t="s">
        <v>37</v>
      </c>
      <c r="L62" s="5">
        <v>3</v>
      </c>
      <c r="M62" s="5">
        <v>3</v>
      </c>
      <c r="N62" s="13">
        <f t="shared" si="6"/>
        <v>1</v>
      </c>
      <c r="O62" s="14">
        <v>112.33</v>
      </c>
      <c r="P62" s="15">
        <f t="shared" si="7"/>
        <v>336.99</v>
      </c>
      <c r="Q62" s="11" t="s">
        <v>67</v>
      </c>
      <c r="R62" s="51" t="s">
        <v>68</v>
      </c>
      <c r="S62" s="17">
        <f t="shared" si="8"/>
        <v>64</v>
      </c>
      <c r="T62" s="17" t="str">
        <f t="shared" si="9"/>
        <v>05/2026</v>
      </c>
      <c r="U62" s="17" t="str">
        <f t="shared" si="10"/>
        <v>08/2026</v>
      </c>
      <c r="V62" s="18">
        <f t="shared" si="11"/>
        <v>0</v>
      </c>
      <c r="W62" s="11" t="s">
        <v>39</v>
      </c>
      <c r="X62" s="19"/>
      <c r="Y62" s="20" t="s">
        <v>55</v>
      </c>
      <c r="Z62" s="19"/>
      <c r="AA62" s="40" t="s">
        <v>195</v>
      </c>
    </row>
    <row r="63" spans="2:27" ht="15.75" customHeight="1" x14ac:dyDescent="0.35">
      <c r="B63" s="22" t="s">
        <v>197</v>
      </c>
      <c r="C63" s="23" t="s">
        <v>63</v>
      </c>
      <c r="D63" s="23" t="s">
        <v>64</v>
      </c>
      <c r="E63" s="23"/>
      <c r="F63" s="23">
        <v>16177612</v>
      </c>
      <c r="G63" s="23" t="s">
        <v>193</v>
      </c>
      <c r="H63" s="35" t="s">
        <v>194</v>
      </c>
      <c r="I63" s="24">
        <v>46161</v>
      </c>
      <c r="J63" s="24">
        <v>46260</v>
      </c>
      <c r="K63" s="22" t="s">
        <v>37</v>
      </c>
      <c r="L63" s="25">
        <v>6</v>
      </c>
      <c r="M63" s="25">
        <v>6</v>
      </c>
      <c r="N63" s="26">
        <f t="shared" si="6"/>
        <v>1</v>
      </c>
      <c r="O63" s="27">
        <v>112.33</v>
      </c>
      <c r="P63" s="28">
        <f t="shared" si="7"/>
        <v>673.98</v>
      </c>
      <c r="Q63" s="22" t="s">
        <v>67</v>
      </c>
      <c r="R63" s="50" t="s">
        <v>72</v>
      </c>
      <c r="S63" s="30">
        <f t="shared" si="8"/>
        <v>99</v>
      </c>
      <c r="T63" s="30" t="str">
        <f t="shared" si="9"/>
        <v>05/2026</v>
      </c>
      <c r="U63" s="30" t="str">
        <f t="shared" si="10"/>
        <v>09/2026</v>
      </c>
      <c r="V63" s="31">
        <f t="shared" si="11"/>
        <v>0</v>
      </c>
      <c r="W63" s="22" t="s">
        <v>39</v>
      </c>
      <c r="X63" s="32"/>
      <c r="Y63" s="33" t="s">
        <v>55</v>
      </c>
      <c r="Z63" s="32"/>
      <c r="AA63" s="41" t="s">
        <v>195</v>
      </c>
    </row>
    <row r="64" spans="2:27" ht="15.75" customHeight="1" x14ac:dyDescent="0.35">
      <c r="B64" s="11" t="s">
        <v>87</v>
      </c>
      <c r="C64" s="3" t="s">
        <v>63</v>
      </c>
      <c r="D64" s="3" t="s">
        <v>64</v>
      </c>
      <c r="E64" s="3"/>
      <c r="F64" s="3">
        <v>16177612</v>
      </c>
      <c r="G64" s="3" t="s">
        <v>193</v>
      </c>
      <c r="H64" s="12" t="s">
        <v>194</v>
      </c>
      <c r="I64" s="4">
        <v>46161</v>
      </c>
      <c r="J64" s="4">
        <v>46260</v>
      </c>
      <c r="K64" s="11" t="s">
        <v>37</v>
      </c>
      <c r="L64" s="5">
        <v>16</v>
      </c>
      <c r="M64" s="5">
        <v>16</v>
      </c>
      <c r="N64" s="13">
        <f t="shared" si="6"/>
        <v>1</v>
      </c>
      <c r="O64" s="14">
        <v>112.33</v>
      </c>
      <c r="P64" s="15">
        <f t="shared" si="7"/>
        <v>1797.28</v>
      </c>
      <c r="Q64" s="11" t="s">
        <v>67</v>
      </c>
      <c r="R64" s="51" t="s">
        <v>72</v>
      </c>
      <c r="S64" s="17">
        <f t="shared" si="8"/>
        <v>99</v>
      </c>
      <c r="T64" s="17" t="str">
        <f t="shared" si="9"/>
        <v>05/2026</v>
      </c>
      <c r="U64" s="17" t="str">
        <f t="shared" si="10"/>
        <v>09/2026</v>
      </c>
      <c r="V64" s="18">
        <f t="shared" si="11"/>
        <v>0</v>
      </c>
      <c r="W64" s="11" t="s">
        <v>39</v>
      </c>
      <c r="X64" s="19"/>
      <c r="Y64" s="20" t="s">
        <v>55</v>
      </c>
      <c r="Z64" s="19"/>
      <c r="AA64" s="40" t="s">
        <v>195</v>
      </c>
    </row>
    <row r="65" spans="2:27" ht="15.75" customHeight="1" x14ac:dyDescent="0.35">
      <c r="B65" s="22" t="s">
        <v>91</v>
      </c>
      <c r="C65" s="23" t="s">
        <v>198</v>
      </c>
      <c r="D65" s="23" t="s">
        <v>199</v>
      </c>
      <c r="E65" s="23">
        <v>4300037783</v>
      </c>
      <c r="F65" s="23">
        <v>13188470</v>
      </c>
      <c r="G65" s="23" t="s">
        <v>65</v>
      </c>
      <c r="H65" s="23" t="s">
        <v>66</v>
      </c>
      <c r="I65" s="24">
        <v>46154</v>
      </c>
      <c r="J65" s="24">
        <v>46246</v>
      </c>
      <c r="K65" s="22" t="s">
        <v>37</v>
      </c>
      <c r="L65" s="25">
        <v>1</v>
      </c>
      <c r="M65" s="25">
        <v>1</v>
      </c>
      <c r="N65" s="26">
        <f t="shared" si="6"/>
        <v>1</v>
      </c>
      <c r="O65" s="27">
        <v>1490.97</v>
      </c>
      <c r="P65" s="28">
        <f t="shared" si="7"/>
        <v>1490.97</v>
      </c>
      <c r="Q65" s="22" t="s">
        <v>67</v>
      </c>
      <c r="R65" s="50" t="s">
        <v>68</v>
      </c>
      <c r="S65" s="30">
        <f t="shared" si="8"/>
        <v>92</v>
      </c>
      <c r="T65" s="30" t="str">
        <f t="shared" si="9"/>
        <v>05/2026</v>
      </c>
      <c r="U65" s="30" t="str">
        <f t="shared" si="10"/>
        <v>09/2026</v>
      </c>
      <c r="V65" s="31">
        <f t="shared" si="11"/>
        <v>0</v>
      </c>
      <c r="W65" s="22" t="s">
        <v>39</v>
      </c>
      <c r="X65" s="32"/>
      <c r="Y65" s="33" t="s">
        <v>55</v>
      </c>
      <c r="Z65" s="32"/>
      <c r="AA65" s="41" t="s">
        <v>200</v>
      </c>
    </row>
    <row r="66" spans="2:27" ht="15.75" customHeight="1" x14ac:dyDescent="0.35">
      <c r="B66" s="11" t="s">
        <v>118</v>
      </c>
      <c r="C66" s="3" t="s">
        <v>198</v>
      </c>
      <c r="D66" s="3" t="s">
        <v>199</v>
      </c>
      <c r="E66" s="3">
        <v>4300037783</v>
      </c>
      <c r="F66" s="3">
        <v>13188470</v>
      </c>
      <c r="G66" s="3" t="s">
        <v>65</v>
      </c>
      <c r="H66" s="3" t="s">
        <v>66</v>
      </c>
      <c r="I66" s="4">
        <v>46154</v>
      </c>
      <c r="J66" s="4">
        <v>46195</v>
      </c>
      <c r="K66" s="11" t="s">
        <v>37</v>
      </c>
      <c r="L66" s="5">
        <v>1</v>
      </c>
      <c r="M66" s="5">
        <v>1</v>
      </c>
      <c r="N66" s="13">
        <f t="shared" si="6"/>
        <v>1</v>
      </c>
      <c r="O66" s="14">
        <v>1490.97</v>
      </c>
      <c r="P66" s="15">
        <f t="shared" si="7"/>
        <v>1490.97</v>
      </c>
      <c r="Q66" s="11" t="s">
        <v>67</v>
      </c>
      <c r="R66" s="51" t="s">
        <v>68</v>
      </c>
      <c r="S66" s="17">
        <f t="shared" si="8"/>
        <v>41</v>
      </c>
      <c r="T66" s="17" t="str">
        <f t="shared" si="9"/>
        <v>05/2026</v>
      </c>
      <c r="U66" s="17" t="str">
        <f t="shared" si="10"/>
        <v>07/2026</v>
      </c>
      <c r="V66" s="18">
        <f t="shared" si="11"/>
        <v>0</v>
      </c>
      <c r="W66" s="11" t="s">
        <v>39</v>
      </c>
      <c r="X66" s="19"/>
      <c r="Y66" s="20" t="s">
        <v>492</v>
      </c>
      <c r="Z66" s="19"/>
      <c r="AA66" s="40" t="s">
        <v>200</v>
      </c>
    </row>
    <row r="67" spans="2:27" ht="15.75" customHeight="1" x14ac:dyDescent="0.35">
      <c r="B67" s="22" t="s">
        <v>50</v>
      </c>
      <c r="C67" s="23" t="s">
        <v>81</v>
      </c>
      <c r="D67" s="23" t="s">
        <v>82</v>
      </c>
      <c r="E67" s="23">
        <v>4300037815</v>
      </c>
      <c r="F67" s="23">
        <v>15011261</v>
      </c>
      <c r="G67" s="23" t="s">
        <v>201</v>
      </c>
      <c r="H67" s="23" t="s">
        <v>202</v>
      </c>
      <c r="I67" s="24">
        <v>46154</v>
      </c>
      <c r="J67" s="24">
        <v>46225</v>
      </c>
      <c r="K67" s="22" t="s">
        <v>37</v>
      </c>
      <c r="L67" s="25">
        <v>60</v>
      </c>
      <c r="M67" s="25">
        <v>60</v>
      </c>
      <c r="N67" s="26">
        <f t="shared" si="6"/>
        <v>1</v>
      </c>
      <c r="O67" s="27">
        <v>678.04</v>
      </c>
      <c r="P67" s="28">
        <f t="shared" si="7"/>
        <v>40682.399999999994</v>
      </c>
      <c r="Q67" s="22" t="s">
        <v>67</v>
      </c>
      <c r="R67" s="50" t="s">
        <v>68</v>
      </c>
      <c r="S67" s="30">
        <f t="shared" si="8"/>
        <v>71</v>
      </c>
      <c r="T67" s="30" t="str">
        <f t="shared" si="9"/>
        <v>05/2026</v>
      </c>
      <c r="U67" s="30" t="str">
        <f t="shared" si="10"/>
        <v>08/2026</v>
      </c>
      <c r="V67" s="31">
        <f t="shared" si="11"/>
        <v>0</v>
      </c>
      <c r="W67" s="22" t="s">
        <v>39</v>
      </c>
      <c r="X67" s="32"/>
      <c r="Y67" s="33" t="s">
        <v>55</v>
      </c>
      <c r="Z67" s="32"/>
      <c r="AA67" s="41" t="s">
        <v>203</v>
      </c>
    </row>
    <row r="68" spans="2:27" ht="15.75" customHeight="1" x14ac:dyDescent="0.35">
      <c r="B68" s="11" t="s">
        <v>33</v>
      </c>
      <c r="C68" s="3" t="s">
        <v>81</v>
      </c>
      <c r="D68" s="3" t="s">
        <v>82</v>
      </c>
      <c r="E68" s="3">
        <v>4300037815</v>
      </c>
      <c r="F68" s="3">
        <v>15011261</v>
      </c>
      <c r="G68" s="3" t="s">
        <v>201</v>
      </c>
      <c r="H68" s="3" t="s">
        <v>202</v>
      </c>
      <c r="I68" s="4">
        <v>46154</v>
      </c>
      <c r="J68" s="4">
        <v>46225</v>
      </c>
      <c r="K68" s="11" t="s">
        <v>37</v>
      </c>
      <c r="L68" s="5">
        <v>22</v>
      </c>
      <c r="M68" s="5">
        <v>22</v>
      </c>
      <c r="N68" s="13">
        <f t="shared" ref="N68:N99" si="12">IF(L68=0,0,M68/L68)</f>
        <v>1</v>
      </c>
      <c r="O68" s="14">
        <v>678.04</v>
      </c>
      <c r="P68" s="15">
        <f t="shared" ref="P68:P99" si="13">L68*O68</f>
        <v>14916.88</v>
      </c>
      <c r="Q68" s="11" t="s">
        <v>67</v>
      </c>
      <c r="R68" s="51" t="s">
        <v>68</v>
      </c>
      <c r="S68" s="17">
        <f t="shared" ref="S68:S99" si="14">IF(Y68="✔","✔ OK",IF(OR(J68="",J68=0),"TBA",INT(J68-I68)))</f>
        <v>71</v>
      </c>
      <c r="T68" s="17" t="str">
        <f t="shared" ref="T68:T99" si="15">IF(I68="","",TEXT(MONTH(I68),"00")&amp;"/"&amp;YEAR(I68))</f>
        <v>05/2026</v>
      </c>
      <c r="U68" s="17" t="str">
        <f t="shared" ref="U68:U99" si="16">IF(Y68="✔","OK",IF(OR(J68="",J68=0),"",TEXT(MONTH(J68+20),"00")&amp;"/"&amp;TEXT(YEAR(J68+20),"0000")))</f>
        <v>08/2026</v>
      </c>
      <c r="V68" s="18">
        <f t="shared" ref="V68:V99" si="17">L68-M68</f>
        <v>0</v>
      </c>
      <c r="W68" s="11" t="s">
        <v>39</v>
      </c>
      <c r="X68" s="19"/>
      <c r="Y68" s="20" t="s">
        <v>55</v>
      </c>
      <c r="Z68" s="19"/>
      <c r="AA68" s="40" t="s">
        <v>203</v>
      </c>
    </row>
    <row r="69" spans="2:27" ht="15.75" customHeight="1" x14ac:dyDescent="0.35">
      <c r="B69" s="22" t="s">
        <v>50</v>
      </c>
      <c r="C69" s="23" t="s">
        <v>204</v>
      </c>
      <c r="D69" s="23" t="s">
        <v>205</v>
      </c>
      <c r="E69" s="23">
        <v>4300037947</v>
      </c>
      <c r="F69" s="23">
        <v>15055565</v>
      </c>
      <c r="G69" s="23" t="s">
        <v>206</v>
      </c>
      <c r="H69" s="23" t="s">
        <v>207</v>
      </c>
      <c r="I69" s="24">
        <v>46169</v>
      </c>
      <c r="J69" s="24">
        <v>46175</v>
      </c>
      <c r="K69" s="22" t="s">
        <v>113</v>
      </c>
      <c r="L69" s="25">
        <v>3</v>
      </c>
      <c r="M69" s="25">
        <v>0</v>
      </c>
      <c r="N69" s="26">
        <f t="shared" si="12"/>
        <v>0</v>
      </c>
      <c r="O69" s="27">
        <v>3267.67</v>
      </c>
      <c r="P69" s="28">
        <f t="shared" si="13"/>
        <v>9803.01</v>
      </c>
      <c r="Q69" s="22" t="s">
        <v>67</v>
      </c>
      <c r="R69" s="52" t="s">
        <v>72</v>
      </c>
      <c r="S69" s="30">
        <f t="shared" si="14"/>
        <v>6</v>
      </c>
      <c r="T69" s="30" t="str">
        <f t="shared" si="15"/>
        <v>05/2026</v>
      </c>
      <c r="U69" s="30" t="str">
        <f t="shared" si="16"/>
        <v>06/2026</v>
      </c>
      <c r="V69" s="31">
        <f t="shared" si="17"/>
        <v>3</v>
      </c>
      <c r="W69" s="22" t="s">
        <v>39</v>
      </c>
      <c r="X69" s="32"/>
      <c r="Y69" s="33" t="s">
        <v>492</v>
      </c>
      <c r="Z69" s="32"/>
      <c r="AA69" s="41" t="s">
        <v>208</v>
      </c>
    </row>
    <row r="70" spans="2:27" ht="15.75" customHeight="1" x14ac:dyDescent="0.35">
      <c r="B70" s="11" t="s">
        <v>91</v>
      </c>
      <c r="C70" s="3" t="s">
        <v>63</v>
      </c>
      <c r="D70" s="3" t="s">
        <v>64</v>
      </c>
      <c r="E70" s="3"/>
      <c r="F70" s="3">
        <v>16177612</v>
      </c>
      <c r="G70" s="3" t="s">
        <v>193</v>
      </c>
      <c r="H70" s="12" t="s">
        <v>194</v>
      </c>
      <c r="I70" s="4">
        <v>46161</v>
      </c>
      <c r="J70" s="4">
        <v>46225</v>
      </c>
      <c r="K70" s="11" t="s">
        <v>37</v>
      </c>
      <c r="L70" s="5">
        <v>6</v>
      </c>
      <c r="M70" s="5">
        <v>6</v>
      </c>
      <c r="N70" s="13">
        <f t="shared" si="12"/>
        <v>1</v>
      </c>
      <c r="O70" s="14">
        <v>112.33</v>
      </c>
      <c r="P70" s="15">
        <f t="shared" si="13"/>
        <v>673.98</v>
      </c>
      <c r="Q70" s="11" t="s">
        <v>67</v>
      </c>
      <c r="R70" s="53" t="s">
        <v>68</v>
      </c>
      <c r="S70" s="17">
        <f t="shared" si="14"/>
        <v>64</v>
      </c>
      <c r="T70" s="17" t="str">
        <f t="shared" si="15"/>
        <v>05/2026</v>
      </c>
      <c r="U70" s="17" t="str">
        <f t="shared" si="16"/>
        <v>08/2026</v>
      </c>
      <c r="V70" s="18">
        <f t="shared" si="17"/>
        <v>0</v>
      </c>
      <c r="W70" s="11" t="s">
        <v>39</v>
      </c>
      <c r="X70" s="19"/>
      <c r="Y70" s="20" t="s">
        <v>55</v>
      </c>
      <c r="Z70" s="19"/>
      <c r="AA70" s="40" t="s">
        <v>209</v>
      </c>
    </row>
    <row r="71" spans="2:27" ht="15.75" customHeight="1" x14ac:dyDescent="0.35">
      <c r="B71" s="22" t="s">
        <v>74</v>
      </c>
      <c r="C71" s="23" t="s">
        <v>63</v>
      </c>
      <c r="D71" s="23" t="s">
        <v>64</v>
      </c>
      <c r="E71" s="23"/>
      <c r="F71" s="23">
        <v>16177612</v>
      </c>
      <c r="G71" s="23" t="s">
        <v>193</v>
      </c>
      <c r="H71" s="35" t="s">
        <v>194</v>
      </c>
      <c r="I71" s="24">
        <v>46161</v>
      </c>
      <c r="J71" s="24">
        <v>46225</v>
      </c>
      <c r="K71" s="22" t="s">
        <v>37</v>
      </c>
      <c r="L71" s="25">
        <v>6</v>
      </c>
      <c r="M71" s="25">
        <v>6</v>
      </c>
      <c r="N71" s="26">
        <f t="shared" si="12"/>
        <v>1</v>
      </c>
      <c r="O71" s="27">
        <v>112.33</v>
      </c>
      <c r="P71" s="28">
        <f t="shared" si="13"/>
        <v>673.98</v>
      </c>
      <c r="Q71" s="22" t="s">
        <v>67</v>
      </c>
      <c r="R71" s="52" t="s">
        <v>68</v>
      </c>
      <c r="S71" s="30">
        <f t="shared" si="14"/>
        <v>64</v>
      </c>
      <c r="T71" s="30" t="str">
        <f t="shared" si="15"/>
        <v>05/2026</v>
      </c>
      <c r="U71" s="30" t="str">
        <f t="shared" si="16"/>
        <v>08/2026</v>
      </c>
      <c r="V71" s="31">
        <f t="shared" si="17"/>
        <v>0</v>
      </c>
      <c r="W71" s="22" t="s">
        <v>39</v>
      </c>
      <c r="X71" s="32"/>
      <c r="Y71" s="33" t="s">
        <v>55</v>
      </c>
      <c r="Z71" s="32"/>
      <c r="AA71" s="41" t="s">
        <v>209</v>
      </c>
    </row>
    <row r="72" spans="2:27" ht="15.75" customHeight="1" x14ac:dyDescent="0.35">
      <c r="B72" s="11" t="s">
        <v>33</v>
      </c>
      <c r="C72" s="3" t="s">
        <v>63</v>
      </c>
      <c r="D72" s="3" t="s">
        <v>64</v>
      </c>
      <c r="E72" s="3"/>
      <c r="F72" s="3">
        <v>16177612</v>
      </c>
      <c r="G72" s="3" t="s">
        <v>193</v>
      </c>
      <c r="H72" s="12" t="s">
        <v>194</v>
      </c>
      <c r="I72" s="4">
        <v>46161</v>
      </c>
      <c r="J72" s="4">
        <v>46225</v>
      </c>
      <c r="K72" s="11" t="s">
        <v>37</v>
      </c>
      <c r="L72" s="5">
        <v>4</v>
      </c>
      <c r="M72" s="5">
        <v>4</v>
      </c>
      <c r="N72" s="13">
        <f t="shared" si="12"/>
        <v>1</v>
      </c>
      <c r="O72" s="14">
        <v>112.33</v>
      </c>
      <c r="P72" s="15">
        <f t="shared" si="13"/>
        <v>449.32</v>
      </c>
      <c r="Q72" s="11" t="s">
        <v>67</v>
      </c>
      <c r="R72" s="53" t="s">
        <v>68</v>
      </c>
      <c r="S72" s="17">
        <f t="shared" si="14"/>
        <v>64</v>
      </c>
      <c r="T72" s="17" t="str">
        <f t="shared" si="15"/>
        <v>05/2026</v>
      </c>
      <c r="U72" s="17" t="str">
        <f t="shared" si="16"/>
        <v>08/2026</v>
      </c>
      <c r="V72" s="18">
        <f t="shared" si="17"/>
        <v>0</v>
      </c>
      <c r="W72" s="11" t="s">
        <v>39</v>
      </c>
      <c r="X72" s="19"/>
      <c r="Y72" s="20" t="s">
        <v>55</v>
      </c>
      <c r="Z72" s="19"/>
      <c r="AA72" s="40" t="s">
        <v>209</v>
      </c>
    </row>
    <row r="73" spans="2:27" ht="15.75" customHeight="1" x14ac:dyDescent="0.35">
      <c r="B73" s="22" t="s">
        <v>80</v>
      </c>
      <c r="C73" s="23" t="s">
        <v>63</v>
      </c>
      <c r="D73" s="23" t="s">
        <v>64</v>
      </c>
      <c r="E73" s="23"/>
      <c r="F73" s="23">
        <v>16177612</v>
      </c>
      <c r="G73" s="23" t="s">
        <v>193</v>
      </c>
      <c r="H73" s="35" t="s">
        <v>194</v>
      </c>
      <c r="I73" s="24">
        <v>46161</v>
      </c>
      <c r="J73" s="24">
        <v>46225</v>
      </c>
      <c r="K73" s="22" t="s">
        <v>37</v>
      </c>
      <c r="L73" s="25">
        <v>6</v>
      </c>
      <c r="M73" s="25">
        <v>6</v>
      </c>
      <c r="N73" s="26">
        <f t="shared" si="12"/>
        <v>1</v>
      </c>
      <c r="O73" s="27">
        <v>112.33</v>
      </c>
      <c r="P73" s="28">
        <f t="shared" si="13"/>
        <v>673.98</v>
      </c>
      <c r="Q73" s="22" t="s">
        <v>67</v>
      </c>
      <c r="R73" s="52" t="s">
        <v>68</v>
      </c>
      <c r="S73" s="30">
        <f t="shared" si="14"/>
        <v>64</v>
      </c>
      <c r="T73" s="30" t="str">
        <f t="shared" si="15"/>
        <v>05/2026</v>
      </c>
      <c r="U73" s="30" t="str">
        <f t="shared" si="16"/>
        <v>08/2026</v>
      </c>
      <c r="V73" s="31">
        <f t="shared" si="17"/>
        <v>0</v>
      </c>
      <c r="W73" s="22" t="s">
        <v>39</v>
      </c>
      <c r="X73" s="32"/>
      <c r="Y73" s="33" t="s">
        <v>55</v>
      </c>
      <c r="Z73" s="32"/>
      <c r="AA73" s="41" t="s">
        <v>209</v>
      </c>
    </row>
    <row r="74" spans="2:27" ht="15.75" customHeight="1" x14ac:dyDescent="0.35">
      <c r="B74" s="11" t="s">
        <v>118</v>
      </c>
      <c r="C74" s="3" t="s">
        <v>63</v>
      </c>
      <c r="D74" s="3" t="s">
        <v>64</v>
      </c>
      <c r="E74" s="3"/>
      <c r="F74" s="3">
        <v>15055680</v>
      </c>
      <c r="G74" s="3" t="s">
        <v>210</v>
      </c>
      <c r="H74" s="12" t="s">
        <v>211</v>
      </c>
      <c r="I74" s="4">
        <v>46161</v>
      </c>
      <c r="J74" s="4">
        <v>46225</v>
      </c>
      <c r="K74" s="11" t="s">
        <v>37</v>
      </c>
      <c r="L74" s="5">
        <v>4</v>
      </c>
      <c r="M74" s="5">
        <v>4</v>
      </c>
      <c r="N74" s="13">
        <f t="shared" si="12"/>
        <v>1</v>
      </c>
      <c r="O74" s="14">
        <v>297.43</v>
      </c>
      <c r="P74" s="15">
        <f t="shared" si="13"/>
        <v>1189.72</v>
      </c>
      <c r="Q74" s="11" t="s">
        <v>67</v>
      </c>
      <c r="R74" s="53" t="s">
        <v>68</v>
      </c>
      <c r="S74" s="17">
        <f t="shared" si="14"/>
        <v>64</v>
      </c>
      <c r="T74" s="17" t="str">
        <f t="shared" si="15"/>
        <v>05/2026</v>
      </c>
      <c r="U74" s="17" t="str">
        <f t="shared" si="16"/>
        <v>08/2026</v>
      </c>
      <c r="V74" s="18">
        <f t="shared" si="17"/>
        <v>0</v>
      </c>
      <c r="W74" s="11" t="s">
        <v>39</v>
      </c>
      <c r="X74" s="19"/>
      <c r="Y74" s="20" t="s">
        <v>55</v>
      </c>
      <c r="Z74" s="19"/>
      <c r="AA74" s="40" t="s">
        <v>209</v>
      </c>
    </row>
    <row r="75" spans="2:27" ht="15.75" customHeight="1" x14ac:dyDescent="0.35">
      <c r="B75" s="22" t="s">
        <v>123</v>
      </c>
      <c r="C75" s="23" t="s">
        <v>63</v>
      </c>
      <c r="D75" s="23" t="s">
        <v>64</v>
      </c>
      <c r="E75" s="23"/>
      <c r="F75" s="23">
        <v>15419258</v>
      </c>
      <c r="G75" s="23" t="s">
        <v>212</v>
      </c>
      <c r="H75" s="35" t="s">
        <v>213</v>
      </c>
      <c r="I75" s="24">
        <v>46161</v>
      </c>
      <c r="J75" s="24">
        <v>46225</v>
      </c>
      <c r="K75" s="22" t="s">
        <v>37</v>
      </c>
      <c r="L75" s="25">
        <v>2</v>
      </c>
      <c r="M75" s="25">
        <v>2</v>
      </c>
      <c r="N75" s="26">
        <f t="shared" si="12"/>
        <v>1</v>
      </c>
      <c r="O75" s="27">
        <v>194.06</v>
      </c>
      <c r="P75" s="28">
        <f t="shared" si="13"/>
        <v>388.12</v>
      </c>
      <c r="Q75" s="22" t="s">
        <v>67</v>
      </c>
      <c r="R75" s="52" t="s">
        <v>68</v>
      </c>
      <c r="S75" s="30">
        <f t="shared" si="14"/>
        <v>64</v>
      </c>
      <c r="T75" s="30" t="str">
        <f t="shared" si="15"/>
        <v>05/2026</v>
      </c>
      <c r="U75" s="30" t="str">
        <f t="shared" si="16"/>
        <v>08/2026</v>
      </c>
      <c r="V75" s="31">
        <f t="shared" si="17"/>
        <v>0</v>
      </c>
      <c r="W75" s="22" t="s">
        <v>39</v>
      </c>
      <c r="X75" s="32"/>
      <c r="Y75" s="33" t="s">
        <v>55</v>
      </c>
      <c r="Z75" s="32"/>
      <c r="AA75" s="41" t="s">
        <v>209</v>
      </c>
    </row>
    <row r="76" spans="2:27" ht="15.75" customHeight="1" x14ac:dyDescent="0.35">
      <c r="B76" s="11" t="s">
        <v>33</v>
      </c>
      <c r="C76" s="3" t="s">
        <v>109</v>
      </c>
      <c r="D76" s="3" t="s">
        <v>110</v>
      </c>
      <c r="E76" s="3">
        <v>4300038759</v>
      </c>
      <c r="F76" s="3">
        <v>13040483</v>
      </c>
      <c r="G76" s="3" t="s">
        <v>214</v>
      </c>
      <c r="H76" s="3" t="s">
        <v>215</v>
      </c>
      <c r="I76" s="4">
        <v>46169</v>
      </c>
      <c r="J76" s="4">
        <v>46288</v>
      </c>
      <c r="K76" s="11" t="s">
        <v>37</v>
      </c>
      <c r="L76" s="5">
        <v>50</v>
      </c>
      <c r="M76" s="5">
        <v>50</v>
      </c>
      <c r="N76" s="13">
        <f t="shared" si="12"/>
        <v>1</v>
      </c>
      <c r="O76" s="14">
        <v>226.14</v>
      </c>
      <c r="P76" s="15">
        <f t="shared" si="13"/>
        <v>11307</v>
      </c>
      <c r="Q76" s="11" t="s">
        <v>67</v>
      </c>
      <c r="R76" s="54" t="s">
        <v>107</v>
      </c>
      <c r="S76" s="17">
        <f t="shared" si="14"/>
        <v>119</v>
      </c>
      <c r="T76" s="17" t="str">
        <f t="shared" si="15"/>
        <v>05/2026</v>
      </c>
      <c r="U76" s="17" t="str">
        <f t="shared" si="16"/>
        <v>10/2026</v>
      </c>
      <c r="V76" s="18">
        <f t="shared" si="17"/>
        <v>0</v>
      </c>
      <c r="W76" s="11" t="s">
        <v>39</v>
      </c>
      <c r="X76" s="19"/>
      <c r="Y76" s="20" t="s">
        <v>55</v>
      </c>
      <c r="Z76" s="19"/>
      <c r="AA76" s="40" t="s">
        <v>216</v>
      </c>
    </row>
    <row r="77" spans="2:27" ht="15.75" customHeight="1" x14ac:dyDescent="0.35">
      <c r="B77" s="22" t="s">
        <v>192</v>
      </c>
      <c r="C77" s="23" t="s">
        <v>109</v>
      </c>
      <c r="D77" s="23" t="s">
        <v>110</v>
      </c>
      <c r="E77" s="23">
        <v>4300038759</v>
      </c>
      <c r="F77" s="23">
        <v>17545471</v>
      </c>
      <c r="G77" s="23" t="s">
        <v>217</v>
      </c>
      <c r="H77" s="23" t="s">
        <v>218</v>
      </c>
      <c r="I77" s="24">
        <v>46169</v>
      </c>
      <c r="J77" s="24">
        <v>46407</v>
      </c>
      <c r="K77" s="22" t="s">
        <v>37</v>
      </c>
      <c r="L77" s="25">
        <v>1</v>
      </c>
      <c r="M77" s="25">
        <v>1</v>
      </c>
      <c r="N77" s="26">
        <f t="shared" si="12"/>
        <v>1</v>
      </c>
      <c r="O77" s="27">
        <v>86.1</v>
      </c>
      <c r="P77" s="28">
        <f t="shared" si="13"/>
        <v>86.1</v>
      </c>
      <c r="Q77" s="22" t="s">
        <v>67</v>
      </c>
      <c r="R77" s="55" t="s">
        <v>219</v>
      </c>
      <c r="S77" s="30">
        <f t="shared" si="14"/>
        <v>238</v>
      </c>
      <c r="T77" s="30" t="str">
        <f t="shared" si="15"/>
        <v>05/2026</v>
      </c>
      <c r="U77" s="30" t="str">
        <f t="shared" si="16"/>
        <v>02/2027</v>
      </c>
      <c r="V77" s="31">
        <f t="shared" si="17"/>
        <v>0</v>
      </c>
      <c r="W77" s="22" t="s">
        <v>39</v>
      </c>
      <c r="X77" s="32"/>
      <c r="Y77" s="33" t="s">
        <v>55</v>
      </c>
      <c r="Z77" s="32"/>
      <c r="AA77" s="41" t="s">
        <v>220</v>
      </c>
    </row>
    <row r="78" spans="2:27" ht="15.75" customHeight="1" x14ac:dyDescent="0.35">
      <c r="B78" s="11" t="s">
        <v>41</v>
      </c>
      <c r="C78" s="3" t="s">
        <v>109</v>
      </c>
      <c r="D78" s="3" t="s">
        <v>110</v>
      </c>
      <c r="E78" s="3">
        <v>4300038759</v>
      </c>
      <c r="F78" s="3">
        <v>13040483</v>
      </c>
      <c r="G78" s="3" t="s">
        <v>214</v>
      </c>
      <c r="H78" s="3" t="s">
        <v>215</v>
      </c>
      <c r="I78" s="4">
        <v>46169</v>
      </c>
      <c r="J78" s="4">
        <v>46288</v>
      </c>
      <c r="K78" s="11" t="s">
        <v>37</v>
      </c>
      <c r="L78" s="5">
        <v>4</v>
      </c>
      <c r="M78" s="5">
        <v>4</v>
      </c>
      <c r="N78" s="13">
        <f t="shared" si="12"/>
        <v>1</v>
      </c>
      <c r="O78" s="14">
        <v>226.14</v>
      </c>
      <c r="P78" s="15">
        <f t="shared" si="13"/>
        <v>904.56</v>
      </c>
      <c r="Q78" s="11" t="s">
        <v>67</v>
      </c>
      <c r="R78" s="54" t="s">
        <v>107</v>
      </c>
      <c r="S78" s="17">
        <f t="shared" si="14"/>
        <v>119</v>
      </c>
      <c r="T78" s="17" t="str">
        <f t="shared" si="15"/>
        <v>05/2026</v>
      </c>
      <c r="U78" s="17" t="str">
        <f t="shared" si="16"/>
        <v>10/2026</v>
      </c>
      <c r="V78" s="18">
        <f t="shared" si="17"/>
        <v>0</v>
      </c>
      <c r="W78" s="11" t="s">
        <v>39</v>
      </c>
      <c r="X78" s="19"/>
      <c r="Y78" s="20" t="s">
        <v>55</v>
      </c>
      <c r="Z78" s="19"/>
      <c r="AA78" s="40" t="s">
        <v>216</v>
      </c>
    </row>
    <row r="79" spans="2:27" ht="15.75" customHeight="1" x14ac:dyDescent="0.35">
      <c r="B79" s="22" t="s">
        <v>87</v>
      </c>
      <c r="C79" s="23" t="s">
        <v>109</v>
      </c>
      <c r="D79" s="23" t="s">
        <v>110</v>
      </c>
      <c r="E79" s="23">
        <v>4300038759</v>
      </c>
      <c r="F79" s="23">
        <v>17545471</v>
      </c>
      <c r="G79" s="23" t="s">
        <v>217</v>
      </c>
      <c r="H79" s="23" t="s">
        <v>218</v>
      </c>
      <c r="I79" s="24">
        <v>46169</v>
      </c>
      <c r="J79" s="24">
        <v>46407</v>
      </c>
      <c r="K79" s="22" t="s">
        <v>37</v>
      </c>
      <c r="L79" s="25">
        <v>2</v>
      </c>
      <c r="M79" s="25">
        <v>2</v>
      </c>
      <c r="N79" s="26">
        <f t="shared" si="12"/>
        <v>1</v>
      </c>
      <c r="O79" s="27">
        <v>86.1</v>
      </c>
      <c r="P79" s="28">
        <f t="shared" si="13"/>
        <v>172.2</v>
      </c>
      <c r="Q79" s="22" t="s">
        <v>67</v>
      </c>
      <c r="R79" s="55" t="s">
        <v>219</v>
      </c>
      <c r="S79" s="30">
        <f t="shared" si="14"/>
        <v>238</v>
      </c>
      <c r="T79" s="30" t="str">
        <f t="shared" si="15"/>
        <v>05/2026</v>
      </c>
      <c r="U79" s="30" t="str">
        <f t="shared" si="16"/>
        <v>02/2027</v>
      </c>
      <c r="V79" s="31">
        <f t="shared" si="17"/>
        <v>0</v>
      </c>
      <c r="W79" s="22" t="s">
        <v>39</v>
      </c>
      <c r="X79" s="32"/>
      <c r="Y79" s="33" t="s">
        <v>55</v>
      </c>
      <c r="Z79" s="32"/>
      <c r="AA79" s="41" t="s">
        <v>220</v>
      </c>
    </row>
    <row r="80" spans="2:27" ht="15.75" customHeight="1" x14ac:dyDescent="0.35">
      <c r="B80" s="11" t="s">
        <v>50</v>
      </c>
      <c r="C80" s="3" t="s">
        <v>221</v>
      </c>
      <c r="D80" s="3">
        <v>262910450</v>
      </c>
      <c r="E80" s="3">
        <v>4300038547</v>
      </c>
      <c r="F80" s="3">
        <v>17563131</v>
      </c>
      <c r="G80" s="3" t="s">
        <v>222</v>
      </c>
      <c r="H80" s="3" t="s">
        <v>223</v>
      </c>
      <c r="I80" s="4">
        <v>46163</v>
      </c>
      <c r="J80" s="4">
        <v>46225</v>
      </c>
      <c r="K80" s="11" t="s">
        <v>37</v>
      </c>
      <c r="L80" s="5">
        <v>130</v>
      </c>
      <c r="M80" s="5">
        <v>130</v>
      </c>
      <c r="N80" s="13">
        <f t="shared" si="12"/>
        <v>1</v>
      </c>
      <c r="O80" s="14">
        <v>192.03</v>
      </c>
      <c r="P80" s="15">
        <f t="shared" si="13"/>
        <v>24963.9</v>
      </c>
      <c r="Q80" s="11" t="s">
        <v>67</v>
      </c>
      <c r="R80" s="54" t="s">
        <v>107</v>
      </c>
      <c r="S80" s="17">
        <f t="shared" si="14"/>
        <v>62</v>
      </c>
      <c r="T80" s="17" t="str">
        <f t="shared" si="15"/>
        <v>05/2026</v>
      </c>
      <c r="U80" s="17" t="str">
        <f t="shared" si="16"/>
        <v>08/2026</v>
      </c>
      <c r="V80" s="18">
        <f t="shared" si="17"/>
        <v>0</v>
      </c>
      <c r="W80" s="11" t="s">
        <v>39</v>
      </c>
      <c r="X80" s="19"/>
      <c r="Y80" s="20" t="s">
        <v>55</v>
      </c>
      <c r="Z80" s="19"/>
      <c r="AA80" s="40" t="s">
        <v>224</v>
      </c>
    </row>
    <row r="81" spans="2:27" ht="15.75" customHeight="1" x14ac:dyDescent="0.35">
      <c r="B81" s="22" t="s">
        <v>91</v>
      </c>
      <c r="C81" s="23" t="s">
        <v>75</v>
      </c>
      <c r="D81" s="23" t="s">
        <v>76</v>
      </c>
      <c r="E81" s="23">
        <v>4300037223</v>
      </c>
      <c r="F81" s="23">
        <v>15134397</v>
      </c>
      <c r="G81" s="23" t="s">
        <v>77</v>
      </c>
      <c r="H81" s="35" t="s">
        <v>78</v>
      </c>
      <c r="I81" s="24">
        <v>46154</v>
      </c>
      <c r="J81" s="24"/>
      <c r="K81" s="22" t="s">
        <v>37</v>
      </c>
      <c r="L81" s="25">
        <v>27</v>
      </c>
      <c r="M81" s="25">
        <v>0</v>
      </c>
      <c r="N81" s="26">
        <f t="shared" si="12"/>
        <v>0</v>
      </c>
      <c r="O81" s="27">
        <v>71.7</v>
      </c>
      <c r="P81" s="28">
        <f t="shared" si="13"/>
        <v>1935.9</v>
      </c>
      <c r="Q81" s="22" t="s">
        <v>67</v>
      </c>
      <c r="R81" s="55" t="s">
        <v>225</v>
      </c>
      <c r="S81" s="30" t="str">
        <f t="shared" si="14"/>
        <v>TBA</v>
      </c>
      <c r="T81" s="30" t="str">
        <f t="shared" si="15"/>
        <v>05/2026</v>
      </c>
      <c r="U81" s="30" t="str">
        <f t="shared" si="16"/>
        <v/>
      </c>
      <c r="V81" s="31">
        <f t="shared" si="17"/>
        <v>27</v>
      </c>
      <c r="W81" s="22" t="s">
        <v>39</v>
      </c>
      <c r="X81" s="32"/>
      <c r="Y81" s="33" t="s">
        <v>55</v>
      </c>
      <c r="Z81" s="32"/>
      <c r="AA81" s="41" t="s">
        <v>226</v>
      </c>
    </row>
    <row r="82" spans="2:27" ht="15.75" customHeight="1" x14ac:dyDescent="0.35">
      <c r="B82" s="11" t="s">
        <v>41</v>
      </c>
      <c r="C82" s="3" t="s">
        <v>103</v>
      </c>
      <c r="D82" s="3" t="s">
        <v>104</v>
      </c>
      <c r="E82" s="3">
        <v>4300036353</v>
      </c>
      <c r="F82" s="3">
        <v>15047773</v>
      </c>
      <c r="G82" s="3" t="s">
        <v>190</v>
      </c>
      <c r="H82" s="12" t="s">
        <v>191</v>
      </c>
      <c r="I82" s="4">
        <v>46100</v>
      </c>
      <c r="J82" s="4">
        <v>46237</v>
      </c>
      <c r="K82" s="11" t="s">
        <v>113</v>
      </c>
      <c r="L82" s="5">
        <v>4</v>
      </c>
      <c r="M82" s="5">
        <v>4</v>
      </c>
      <c r="N82" s="13">
        <f t="shared" si="12"/>
        <v>1</v>
      </c>
      <c r="O82" s="14">
        <v>0</v>
      </c>
      <c r="P82" s="15">
        <f t="shared" si="13"/>
        <v>0</v>
      </c>
      <c r="Q82" s="11" t="s">
        <v>67</v>
      </c>
      <c r="R82" s="54" t="s">
        <v>219</v>
      </c>
      <c r="S82" s="17">
        <f t="shared" si="14"/>
        <v>137</v>
      </c>
      <c r="T82" s="17" t="str">
        <f t="shared" si="15"/>
        <v>03/2026</v>
      </c>
      <c r="U82" s="17" t="str">
        <f t="shared" si="16"/>
        <v>08/2026</v>
      </c>
      <c r="V82" s="18">
        <f t="shared" si="17"/>
        <v>0</v>
      </c>
      <c r="W82" s="11" t="s">
        <v>39</v>
      </c>
      <c r="X82" s="19"/>
      <c r="Y82" s="20" t="s">
        <v>55</v>
      </c>
      <c r="Z82" s="19"/>
      <c r="AA82" s="40" t="s">
        <v>227</v>
      </c>
    </row>
    <row r="83" spans="2:27" ht="15.75" customHeight="1" x14ac:dyDescent="0.35">
      <c r="B83" s="22" t="s">
        <v>228</v>
      </c>
      <c r="C83" s="23" t="s">
        <v>125</v>
      </c>
      <c r="D83" s="23" t="s">
        <v>126</v>
      </c>
      <c r="E83" s="23">
        <v>4300035325</v>
      </c>
      <c r="F83" s="23">
        <v>15153689</v>
      </c>
      <c r="G83" s="23" t="s">
        <v>171</v>
      </c>
      <c r="H83" s="23" t="s">
        <v>172</v>
      </c>
      <c r="I83" s="24">
        <v>46066</v>
      </c>
      <c r="J83" s="24"/>
      <c r="K83" s="22" t="s">
        <v>37</v>
      </c>
      <c r="L83" s="25">
        <v>1</v>
      </c>
      <c r="M83" s="25"/>
      <c r="N83" s="26">
        <f t="shared" si="12"/>
        <v>0</v>
      </c>
      <c r="O83" s="27">
        <v>1403.53</v>
      </c>
      <c r="P83" s="28">
        <f t="shared" si="13"/>
        <v>1403.53</v>
      </c>
      <c r="Q83" s="22" t="s">
        <v>67</v>
      </c>
      <c r="R83" s="55" t="s">
        <v>225</v>
      </c>
      <c r="S83" s="30" t="str">
        <f t="shared" si="14"/>
        <v>TBA</v>
      </c>
      <c r="T83" s="30" t="str">
        <f t="shared" si="15"/>
        <v>02/2026</v>
      </c>
      <c r="U83" s="30" t="str">
        <f t="shared" si="16"/>
        <v/>
      </c>
      <c r="V83" s="31">
        <f t="shared" si="17"/>
        <v>1</v>
      </c>
      <c r="W83" s="22" t="s">
        <v>39</v>
      </c>
      <c r="X83" s="32"/>
      <c r="Y83" s="56" t="s">
        <v>55</v>
      </c>
      <c r="Z83" s="32"/>
      <c r="AA83" s="41" t="s">
        <v>229</v>
      </c>
    </row>
    <row r="84" spans="2:27" ht="15.75" customHeight="1" x14ac:dyDescent="0.35">
      <c r="B84" s="11" t="s">
        <v>50</v>
      </c>
      <c r="C84" s="12" t="s">
        <v>230</v>
      </c>
      <c r="D84" s="3" t="s">
        <v>231</v>
      </c>
      <c r="E84" s="3">
        <v>4300037815</v>
      </c>
      <c r="F84" s="3">
        <v>15011261</v>
      </c>
      <c r="G84" s="3" t="s">
        <v>201</v>
      </c>
      <c r="H84" s="3" t="s">
        <v>202</v>
      </c>
      <c r="I84" s="4">
        <v>46155</v>
      </c>
      <c r="J84" s="4">
        <v>46182</v>
      </c>
      <c r="K84" s="11" t="s">
        <v>37</v>
      </c>
      <c r="L84" s="5">
        <v>20</v>
      </c>
      <c r="M84" s="5">
        <v>20</v>
      </c>
      <c r="N84" s="13">
        <f t="shared" si="12"/>
        <v>1</v>
      </c>
      <c r="O84" s="14">
        <v>678.04</v>
      </c>
      <c r="P84" s="15">
        <f t="shared" si="13"/>
        <v>13560.8</v>
      </c>
      <c r="Q84" s="11" t="s">
        <v>232</v>
      </c>
      <c r="R84" s="45" t="s">
        <v>38</v>
      </c>
      <c r="S84" s="17" t="str">
        <f t="shared" si="14"/>
        <v>✔ OK</v>
      </c>
      <c r="T84" s="17" t="str">
        <f t="shared" si="15"/>
        <v>05/2026</v>
      </c>
      <c r="U84" s="17" t="str">
        <f t="shared" si="16"/>
        <v>OK</v>
      </c>
      <c r="V84" s="18">
        <f t="shared" si="17"/>
        <v>0</v>
      </c>
      <c r="W84" s="11" t="s">
        <v>39</v>
      </c>
      <c r="X84" s="19">
        <v>46164</v>
      </c>
      <c r="Y84" s="20" t="s">
        <v>40</v>
      </c>
      <c r="Z84" s="19">
        <v>46181</v>
      </c>
      <c r="AA84" s="21"/>
    </row>
    <row r="85" spans="2:27" ht="15.75" customHeight="1" x14ac:dyDescent="0.35">
      <c r="B85" s="22" t="s">
        <v>91</v>
      </c>
      <c r="C85" s="23" t="s">
        <v>233</v>
      </c>
      <c r="D85" s="23" t="s">
        <v>234</v>
      </c>
      <c r="E85" s="23"/>
      <c r="F85" s="23"/>
      <c r="G85" s="35" t="s">
        <v>235</v>
      </c>
      <c r="H85" s="35" t="s">
        <v>236</v>
      </c>
      <c r="I85" s="24">
        <v>46129</v>
      </c>
      <c r="J85" s="24">
        <v>46132</v>
      </c>
      <c r="K85" s="22" t="s">
        <v>113</v>
      </c>
      <c r="L85" s="25">
        <v>4</v>
      </c>
      <c r="M85" s="25">
        <v>4</v>
      </c>
      <c r="N85" s="26">
        <f t="shared" si="12"/>
        <v>1</v>
      </c>
      <c r="O85" s="27">
        <v>570.15</v>
      </c>
      <c r="P85" s="28">
        <f t="shared" si="13"/>
        <v>2280.6</v>
      </c>
      <c r="Q85" s="22" t="s">
        <v>237</v>
      </c>
      <c r="R85" s="29" t="s">
        <v>38</v>
      </c>
      <c r="S85" s="30" t="str">
        <f t="shared" si="14"/>
        <v>✔ OK</v>
      </c>
      <c r="T85" s="30" t="str">
        <f t="shared" si="15"/>
        <v>04/2026</v>
      </c>
      <c r="U85" s="30" t="str">
        <f t="shared" si="16"/>
        <v>OK</v>
      </c>
      <c r="V85" s="31">
        <f t="shared" si="17"/>
        <v>0</v>
      </c>
      <c r="W85" s="22" t="s">
        <v>39</v>
      </c>
      <c r="X85" s="32">
        <v>46132</v>
      </c>
      <c r="Y85" s="33" t="s">
        <v>40</v>
      </c>
      <c r="Z85" s="32">
        <v>46140</v>
      </c>
      <c r="AA85" s="41"/>
    </row>
    <row r="86" spans="2:27" ht="15.75" customHeight="1" x14ac:dyDescent="0.35">
      <c r="B86" s="11" t="s">
        <v>50</v>
      </c>
      <c r="C86" s="3" t="s">
        <v>238</v>
      </c>
      <c r="D86" s="3" t="s">
        <v>239</v>
      </c>
      <c r="E86" s="3">
        <v>4300036955</v>
      </c>
      <c r="F86" s="3">
        <v>16177612</v>
      </c>
      <c r="G86" s="3" t="s">
        <v>193</v>
      </c>
      <c r="H86" s="12" t="s">
        <v>194</v>
      </c>
      <c r="I86" s="4">
        <v>46121</v>
      </c>
      <c r="J86" s="4">
        <v>46190</v>
      </c>
      <c r="K86" s="11" t="s">
        <v>37</v>
      </c>
      <c r="L86" s="5">
        <v>4</v>
      </c>
      <c r="M86" s="5">
        <v>4</v>
      </c>
      <c r="N86" s="13">
        <f t="shared" si="12"/>
        <v>1</v>
      </c>
      <c r="O86" s="14">
        <v>113.22</v>
      </c>
      <c r="P86" s="15">
        <f t="shared" si="13"/>
        <v>452.88</v>
      </c>
      <c r="Q86" s="11" t="s">
        <v>240</v>
      </c>
      <c r="R86" s="45" t="s">
        <v>38</v>
      </c>
      <c r="S86" s="17" t="str">
        <f t="shared" si="14"/>
        <v>✔ OK</v>
      </c>
      <c r="T86" s="17" t="str">
        <f t="shared" si="15"/>
        <v>04/2026</v>
      </c>
      <c r="U86" s="17" t="str">
        <f t="shared" si="16"/>
        <v>OK</v>
      </c>
      <c r="V86" s="18">
        <f t="shared" si="17"/>
        <v>0</v>
      </c>
      <c r="W86" s="11" t="s">
        <v>39</v>
      </c>
      <c r="X86" s="19">
        <v>46175</v>
      </c>
      <c r="Y86" s="20" t="s">
        <v>40</v>
      </c>
      <c r="Z86" s="19">
        <v>46195</v>
      </c>
      <c r="AA86" s="40"/>
    </row>
    <row r="87" spans="2:27" ht="15.75" customHeight="1" x14ac:dyDescent="0.35">
      <c r="B87" s="22" t="s">
        <v>74</v>
      </c>
      <c r="C87" s="23" t="s">
        <v>238</v>
      </c>
      <c r="D87" s="23" t="s">
        <v>239</v>
      </c>
      <c r="E87" s="23">
        <v>4300036955</v>
      </c>
      <c r="F87" s="23">
        <v>15004591</v>
      </c>
      <c r="G87" s="23" t="s">
        <v>241</v>
      </c>
      <c r="H87" s="23" t="s">
        <v>242</v>
      </c>
      <c r="I87" s="24">
        <v>46121</v>
      </c>
      <c r="J87" s="24">
        <v>46197</v>
      </c>
      <c r="K87" s="22" t="s">
        <v>37</v>
      </c>
      <c r="L87" s="25">
        <v>10</v>
      </c>
      <c r="M87" s="25">
        <v>10</v>
      </c>
      <c r="N87" s="26">
        <f t="shared" si="12"/>
        <v>1</v>
      </c>
      <c r="O87" s="27">
        <v>838.97</v>
      </c>
      <c r="P87" s="28">
        <f t="shared" si="13"/>
        <v>8389.7000000000007</v>
      </c>
      <c r="Q87" s="22" t="s">
        <v>240</v>
      </c>
      <c r="R87" s="46" t="s">
        <v>38</v>
      </c>
      <c r="S87" s="30" t="str">
        <f t="shared" si="14"/>
        <v>✔ OK</v>
      </c>
      <c r="T87" s="30" t="str">
        <f t="shared" si="15"/>
        <v>04/2026</v>
      </c>
      <c r="U87" s="30" t="str">
        <f t="shared" si="16"/>
        <v>OK</v>
      </c>
      <c r="V87" s="31">
        <f t="shared" si="17"/>
        <v>0</v>
      </c>
      <c r="W87" s="22" t="s">
        <v>39</v>
      </c>
      <c r="X87" s="32">
        <v>46175</v>
      </c>
      <c r="Y87" s="33" t="s">
        <v>40</v>
      </c>
      <c r="Z87" s="32">
        <v>46195</v>
      </c>
      <c r="AA87" s="41"/>
    </row>
    <row r="88" spans="2:27" ht="15.75" customHeight="1" x14ac:dyDescent="0.35">
      <c r="B88" s="11" t="s">
        <v>33</v>
      </c>
      <c r="C88" s="3" t="s">
        <v>238</v>
      </c>
      <c r="D88" s="3" t="s">
        <v>239</v>
      </c>
      <c r="E88" s="3">
        <v>4300036955</v>
      </c>
      <c r="F88" s="3">
        <v>17546207</v>
      </c>
      <c r="G88" s="3" t="s">
        <v>243</v>
      </c>
      <c r="H88" s="3" t="s">
        <v>244</v>
      </c>
      <c r="I88" s="4">
        <v>46121</v>
      </c>
      <c r="J88" s="4">
        <v>46190</v>
      </c>
      <c r="K88" s="11" t="s">
        <v>37</v>
      </c>
      <c r="L88" s="5">
        <v>10</v>
      </c>
      <c r="M88" s="5">
        <v>10</v>
      </c>
      <c r="N88" s="13">
        <f t="shared" si="12"/>
        <v>1</v>
      </c>
      <c r="O88" s="14">
        <v>20.2</v>
      </c>
      <c r="P88" s="15">
        <f t="shared" si="13"/>
        <v>202</v>
      </c>
      <c r="Q88" s="11" t="s">
        <v>240</v>
      </c>
      <c r="R88" s="45" t="s">
        <v>38</v>
      </c>
      <c r="S88" s="17" t="str">
        <f t="shared" si="14"/>
        <v>✔ OK</v>
      </c>
      <c r="T88" s="17" t="str">
        <f t="shared" si="15"/>
        <v>04/2026</v>
      </c>
      <c r="U88" s="17" t="str">
        <f t="shared" si="16"/>
        <v>OK</v>
      </c>
      <c r="V88" s="18">
        <f t="shared" si="17"/>
        <v>0</v>
      </c>
      <c r="W88" s="11" t="s">
        <v>39</v>
      </c>
      <c r="X88" s="19">
        <v>46175</v>
      </c>
      <c r="Y88" s="20" t="s">
        <v>40</v>
      </c>
      <c r="Z88" s="19">
        <v>46195</v>
      </c>
      <c r="AA88" s="40"/>
    </row>
    <row r="89" spans="2:27" ht="15.75" customHeight="1" x14ac:dyDescent="0.35">
      <c r="B89" s="22" t="s">
        <v>80</v>
      </c>
      <c r="C89" s="23" t="s">
        <v>238</v>
      </c>
      <c r="D89" s="23" t="s">
        <v>239</v>
      </c>
      <c r="E89" s="23">
        <v>4300036955</v>
      </c>
      <c r="F89" s="23">
        <v>15374646</v>
      </c>
      <c r="G89" s="23" t="s">
        <v>245</v>
      </c>
      <c r="H89" s="23" t="s">
        <v>246</v>
      </c>
      <c r="I89" s="24">
        <v>46121</v>
      </c>
      <c r="J89" s="24">
        <v>46190</v>
      </c>
      <c r="K89" s="22" t="s">
        <v>247</v>
      </c>
      <c r="L89" s="25">
        <v>10</v>
      </c>
      <c r="M89" s="25">
        <v>10</v>
      </c>
      <c r="N89" s="26">
        <f t="shared" si="12"/>
        <v>1</v>
      </c>
      <c r="O89" s="27">
        <v>35.31</v>
      </c>
      <c r="P89" s="28">
        <f t="shared" si="13"/>
        <v>353.1</v>
      </c>
      <c r="Q89" s="22" t="s">
        <v>240</v>
      </c>
      <c r="R89" s="46" t="s">
        <v>38</v>
      </c>
      <c r="S89" s="30" t="str">
        <f t="shared" si="14"/>
        <v>✔ OK</v>
      </c>
      <c r="T89" s="30" t="str">
        <f t="shared" si="15"/>
        <v>04/2026</v>
      </c>
      <c r="U89" s="30" t="str">
        <f t="shared" si="16"/>
        <v>OK</v>
      </c>
      <c r="V89" s="31">
        <f t="shared" si="17"/>
        <v>0</v>
      </c>
      <c r="W89" s="22" t="s">
        <v>39</v>
      </c>
      <c r="X89" s="32">
        <v>46175</v>
      </c>
      <c r="Y89" s="33" t="s">
        <v>40</v>
      </c>
      <c r="Z89" s="32">
        <v>46195</v>
      </c>
      <c r="AA89" s="41"/>
    </row>
    <row r="90" spans="2:27" ht="15.75" customHeight="1" x14ac:dyDescent="0.35">
      <c r="B90" s="11" t="s">
        <v>41</v>
      </c>
      <c r="C90" s="3" t="s">
        <v>238</v>
      </c>
      <c r="D90" s="3" t="s">
        <v>239</v>
      </c>
      <c r="E90" s="3">
        <v>4300036955</v>
      </c>
      <c r="F90" s="3">
        <v>15374409</v>
      </c>
      <c r="G90" s="3" t="s">
        <v>248</v>
      </c>
      <c r="H90" s="3" t="s">
        <v>249</v>
      </c>
      <c r="I90" s="4">
        <v>46121</v>
      </c>
      <c r="J90" s="4">
        <v>46190</v>
      </c>
      <c r="K90" s="11" t="s">
        <v>247</v>
      </c>
      <c r="L90" s="5">
        <v>4</v>
      </c>
      <c r="M90" s="5">
        <v>4</v>
      </c>
      <c r="N90" s="13">
        <f t="shared" si="12"/>
        <v>1</v>
      </c>
      <c r="O90" s="14">
        <v>33.17</v>
      </c>
      <c r="P90" s="15">
        <f t="shared" si="13"/>
        <v>132.68</v>
      </c>
      <c r="Q90" s="11" t="s">
        <v>240</v>
      </c>
      <c r="R90" s="45" t="s">
        <v>38</v>
      </c>
      <c r="S90" s="17" t="str">
        <f t="shared" si="14"/>
        <v>✔ OK</v>
      </c>
      <c r="T90" s="17" t="str">
        <f t="shared" si="15"/>
        <v>04/2026</v>
      </c>
      <c r="U90" s="17" t="str">
        <f t="shared" si="16"/>
        <v>OK</v>
      </c>
      <c r="V90" s="18">
        <f t="shared" si="17"/>
        <v>0</v>
      </c>
      <c r="W90" s="11" t="s">
        <v>39</v>
      </c>
      <c r="X90" s="19">
        <v>46175</v>
      </c>
      <c r="Y90" s="20" t="s">
        <v>40</v>
      </c>
      <c r="Z90" s="19">
        <v>46195</v>
      </c>
      <c r="AA90" s="40"/>
    </row>
    <row r="91" spans="2:27" ht="15.75" customHeight="1" x14ac:dyDescent="0.35">
      <c r="B91" s="22" t="s">
        <v>46</v>
      </c>
      <c r="C91" s="23" t="s">
        <v>238</v>
      </c>
      <c r="D91" s="23" t="s">
        <v>239</v>
      </c>
      <c r="E91" s="23">
        <v>4300036955</v>
      </c>
      <c r="F91" s="23">
        <v>15153017</v>
      </c>
      <c r="G91" s="23" t="s">
        <v>174</v>
      </c>
      <c r="H91" s="23" t="s">
        <v>250</v>
      </c>
      <c r="I91" s="24">
        <v>46121</v>
      </c>
      <c r="J91" s="24">
        <v>46190</v>
      </c>
      <c r="K91" s="22" t="s">
        <v>37</v>
      </c>
      <c r="L91" s="25">
        <v>18</v>
      </c>
      <c r="M91" s="25">
        <v>18</v>
      </c>
      <c r="N91" s="26">
        <f t="shared" si="12"/>
        <v>1</v>
      </c>
      <c r="O91" s="27">
        <v>40.4</v>
      </c>
      <c r="P91" s="28">
        <f t="shared" si="13"/>
        <v>727.19999999999993</v>
      </c>
      <c r="Q91" s="22" t="s">
        <v>240</v>
      </c>
      <c r="R91" s="46" t="s">
        <v>38</v>
      </c>
      <c r="S91" s="30" t="str">
        <f t="shared" si="14"/>
        <v>✔ OK</v>
      </c>
      <c r="T91" s="30" t="str">
        <f t="shared" si="15"/>
        <v>04/2026</v>
      </c>
      <c r="U91" s="30" t="str">
        <f t="shared" si="16"/>
        <v>OK</v>
      </c>
      <c r="V91" s="31">
        <f t="shared" si="17"/>
        <v>0</v>
      </c>
      <c r="W91" s="22" t="s">
        <v>39</v>
      </c>
      <c r="X91" s="32">
        <v>46175</v>
      </c>
      <c r="Y91" s="33" t="s">
        <v>40</v>
      </c>
      <c r="Z91" s="32">
        <v>46195</v>
      </c>
      <c r="AA91" s="41"/>
    </row>
    <row r="92" spans="2:27" ht="15.75" customHeight="1" x14ac:dyDescent="0.35">
      <c r="B92" s="11" t="s">
        <v>87</v>
      </c>
      <c r="C92" s="3" t="s">
        <v>238</v>
      </c>
      <c r="D92" s="3" t="s">
        <v>239</v>
      </c>
      <c r="E92" s="3">
        <v>4300036955</v>
      </c>
      <c r="F92" s="3">
        <v>17563152</v>
      </c>
      <c r="G92" s="3" t="s">
        <v>251</v>
      </c>
      <c r="H92" s="3" t="s">
        <v>252</v>
      </c>
      <c r="I92" s="4">
        <v>46121</v>
      </c>
      <c r="J92" s="4">
        <v>46190</v>
      </c>
      <c r="K92" s="11" t="s">
        <v>37</v>
      </c>
      <c r="L92" s="5">
        <v>4</v>
      </c>
      <c r="M92" s="5">
        <v>4</v>
      </c>
      <c r="N92" s="13">
        <f t="shared" si="12"/>
        <v>1</v>
      </c>
      <c r="O92" s="14">
        <v>136.16</v>
      </c>
      <c r="P92" s="15">
        <f t="shared" si="13"/>
        <v>544.64</v>
      </c>
      <c r="Q92" s="11" t="s">
        <v>240</v>
      </c>
      <c r="R92" s="45" t="s">
        <v>38</v>
      </c>
      <c r="S92" s="17" t="str">
        <f t="shared" si="14"/>
        <v>✔ OK</v>
      </c>
      <c r="T92" s="17" t="str">
        <f t="shared" si="15"/>
        <v>04/2026</v>
      </c>
      <c r="U92" s="17" t="str">
        <f t="shared" si="16"/>
        <v>OK</v>
      </c>
      <c r="V92" s="18">
        <f t="shared" si="17"/>
        <v>0</v>
      </c>
      <c r="W92" s="11" t="s">
        <v>39</v>
      </c>
      <c r="X92" s="19">
        <v>46175</v>
      </c>
      <c r="Y92" s="20" t="s">
        <v>40</v>
      </c>
      <c r="Z92" s="19">
        <v>46195</v>
      </c>
      <c r="AA92" s="40"/>
    </row>
    <row r="93" spans="2:27" ht="15.75" customHeight="1" x14ac:dyDescent="0.35">
      <c r="B93" s="22" t="s">
        <v>118</v>
      </c>
      <c r="C93" s="23" t="s">
        <v>238</v>
      </c>
      <c r="D93" s="23" t="s">
        <v>239</v>
      </c>
      <c r="E93" s="23">
        <v>4300036955</v>
      </c>
      <c r="F93" s="23">
        <v>15055680</v>
      </c>
      <c r="G93" s="23" t="s">
        <v>253</v>
      </c>
      <c r="H93" s="23" t="s">
        <v>211</v>
      </c>
      <c r="I93" s="24">
        <v>46121</v>
      </c>
      <c r="J93" s="24">
        <v>46190</v>
      </c>
      <c r="K93" s="22" t="s">
        <v>37</v>
      </c>
      <c r="L93" s="25">
        <v>10</v>
      </c>
      <c r="M93" s="25">
        <v>10</v>
      </c>
      <c r="N93" s="26">
        <f t="shared" si="12"/>
        <v>1</v>
      </c>
      <c r="O93" s="27">
        <v>299.81</v>
      </c>
      <c r="P93" s="28">
        <f t="shared" si="13"/>
        <v>2998.1</v>
      </c>
      <c r="Q93" s="22" t="s">
        <v>240</v>
      </c>
      <c r="R93" s="46" t="s">
        <v>38</v>
      </c>
      <c r="S93" s="30" t="str">
        <f t="shared" si="14"/>
        <v>✔ OK</v>
      </c>
      <c r="T93" s="30" t="str">
        <f t="shared" si="15"/>
        <v>04/2026</v>
      </c>
      <c r="U93" s="30" t="str">
        <f t="shared" si="16"/>
        <v>OK</v>
      </c>
      <c r="V93" s="31">
        <f t="shared" si="17"/>
        <v>0</v>
      </c>
      <c r="W93" s="22" t="s">
        <v>39</v>
      </c>
      <c r="X93" s="32">
        <v>46175</v>
      </c>
      <c r="Y93" s="33" t="s">
        <v>40</v>
      </c>
      <c r="Z93" s="32">
        <v>46195</v>
      </c>
      <c r="AA93" s="41"/>
    </row>
    <row r="94" spans="2:27" ht="15.75" customHeight="1" x14ac:dyDescent="0.35">
      <c r="B94" s="11" t="s">
        <v>91</v>
      </c>
      <c r="C94" s="3" t="s">
        <v>98</v>
      </c>
      <c r="D94" s="3" t="s">
        <v>99</v>
      </c>
      <c r="E94" s="3">
        <v>4300036757</v>
      </c>
      <c r="F94" s="3">
        <v>15475312</v>
      </c>
      <c r="G94" s="3" t="s">
        <v>100</v>
      </c>
      <c r="H94" s="3" t="s">
        <v>101</v>
      </c>
      <c r="I94" s="4">
        <v>46113</v>
      </c>
      <c r="J94" s="4">
        <v>46183</v>
      </c>
      <c r="K94" s="11" t="s">
        <v>37</v>
      </c>
      <c r="L94" s="5">
        <v>33</v>
      </c>
      <c r="M94" s="5">
        <v>33</v>
      </c>
      <c r="N94" s="13">
        <f t="shared" si="12"/>
        <v>1</v>
      </c>
      <c r="O94" s="14">
        <v>495</v>
      </c>
      <c r="P94" s="15">
        <f t="shared" si="13"/>
        <v>16335</v>
      </c>
      <c r="Q94" s="11" t="s">
        <v>254</v>
      </c>
      <c r="R94" s="45" t="s">
        <v>38</v>
      </c>
      <c r="S94" s="17" t="str">
        <f t="shared" si="14"/>
        <v>✔ OK</v>
      </c>
      <c r="T94" s="17" t="str">
        <f t="shared" si="15"/>
        <v>04/2026</v>
      </c>
      <c r="U94" s="17" t="str">
        <f t="shared" si="16"/>
        <v>OK</v>
      </c>
      <c r="V94" s="18">
        <f t="shared" si="17"/>
        <v>0</v>
      </c>
      <c r="W94" s="11" t="s">
        <v>39</v>
      </c>
      <c r="X94" s="19">
        <v>46175</v>
      </c>
      <c r="Y94" s="20" t="s">
        <v>40</v>
      </c>
      <c r="Z94" s="19">
        <v>46195</v>
      </c>
      <c r="AA94" s="21"/>
    </row>
    <row r="95" spans="2:27" ht="15.75" customHeight="1" x14ac:dyDescent="0.35">
      <c r="B95" s="22" t="s">
        <v>74</v>
      </c>
      <c r="C95" s="23" t="s">
        <v>98</v>
      </c>
      <c r="D95" s="23" t="s">
        <v>99</v>
      </c>
      <c r="E95" s="23">
        <v>4300036757</v>
      </c>
      <c r="F95" s="23">
        <v>15475312</v>
      </c>
      <c r="G95" s="23" t="s">
        <v>100</v>
      </c>
      <c r="H95" s="23" t="s">
        <v>101</v>
      </c>
      <c r="I95" s="24">
        <v>46113</v>
      </c>
      <c r="J95" s="24">
        <v>46189</v>
      </c>
      <c r="K95" s="22" t="s">
        <v>37</v>
      </c>
      <c r="L95" s="25">
        <v>5</v>
      </c>
      <c r="M95" s="25">
        <v>5</v>
      </c>
      <c r="N95" s="26">
        <f t="shared" si="12"/>
        <v>1</v>
      </c>
      <c r="O95" s="27">
        <v>495</v>
      </c>
      <c r="P95" s="28">
        <f t="shared" si="13"/>
        <v>2475</v>
      </c>
      <c r="Q95" s="22" t="s">
        <v>255</v>
      </c>
      <c r="R95" s="46" t="s">
        <v>38</v>
      </c>
      <c r="S95" s="30" t="str">
        <f t="shared" si="14"/>
        <v>✔ OK</v>
      </c>
      <c r="T95" s="30" t="str">
        <f t="shared" si="15"/>
        <v>04/2026</v>
      </c>
      <c r="U95" s="30" t="str">
        <f t="shared" si="16"/>
        <v>OK</v>
      </c>
      <c r="V95" s="31">
        <f t="shared" si="17"/>
        <v>0</v>
      </c>
      <c r="W95" s="22" t="s">
        <v>39</v>
      </c>
      <c r="X95" s="32">
        <v>46175</v>
      </c>
      <c r="Y95" s="33" t="s">
        <v>40</v>
      </c>
      <c r="Z95" s="32">
        <v>46195</v>
      </c>
      <c r="AA95" s="34"/>
    </row>
    <row r="96" spans="2:27" ht="15.75" customHeight="1" x14ac:dyDescent="0.35">
      <c r="B96" s="11" t="s">
        <v>170</v>
      </c>
      <c r="C96" s="3" t="s">
        <v>98</v>
      </c>
      <c r="D96" s="3" t="s">
        <v>99</v>
      </c>
      <c r="E96" s="3">
        <v>4300036757</v>
      </c>
      <c r="F96" s="3">
        <v>15475312</v>
      </c>
      <c r="G96" s="3" t="s">
        <v>100</v>
      </c>
      <c r="H96" s="3" t="s">
        <v>101</v>
      </c>
      <c r="I96" s="4">
        <v>46113</v>
      </c>
      <c r="J96" s="4">
        <v>46184</v>
      </c>
      <c r="K96" s="11" t="s">
        <v>37</v>
      </c>
      <c r="L96" s="5">
        <v>20</v>
      </c>
      <c r="M96" s="5">
        <v>20</v>
      </c>
      <c r="N96" s="13">
        <f t="shared" si="12"/>
        <v>1</v>
      </c>
      <c r="O96" s="14">
        <v>495</v>
      </c>
      <c r="P96" s="15">
        <f t="shared" si="13"/>
        <v>9900</v>
      </c>
      <c r="Q96" s="11" t="s">
        <v>255</v>
      </c>
      <c r="R96" s="45" t="s">
        <v>38</v>
      </c>
      <c r="S96" s="17" t="str">
        <f t="shared" si="14"/>
        <v>✔ OK</v>
      </c>
      <c r="T96" s="17" t="str">
        <f t="shared" si="15"/>
        <v>04/2026</v>
      </c>
      <c r="U96" s="17" t="str">
        <f t="shared" si="16"/>
        <v>OK</v>
      </c>
      <c r="V96" s="18">
        <f t="shared" si="17"/>
        <v>0</v>
      </c>
      <c r="W96" s="11" t="s">
        <v>39</v>
      </c>
      <c r="X96" s="19">
        <v>46175</v>
      </c>
      <c r="Y96" s="20" t="s">
        <v>40</v>
      </c>
      <c r="Z96" s="19">
        <v>46195</v>
      </c>
      <c r="AA96" s="21"/>
    </row>
    <row r="97" spans="2:27" ht="15.75" customHeight="1" x14ac:dyDescent="0.35">
      <c r="B97" s="22" t="s">
        <v>50</v>
      </c>
      <c r="C97" s="23" t="s">
        <v>103</v>
      </c>
      <c r="D97" s="23" t="s">
        <v>104</v>
      </c>
      <c r="E97" s="23">
        <v>4300036353</v>
      </c>
      <c r="F97" s="23">
        <v>13048138</v>
      </c>
      <c r="G97" s="23" t="s">
        <v>256</v>
      </c>
      <c r="H97" s="23" t="s">
        <v>257</v>
      </c>
      <c r="I97" s="24">
        <v>46100</v>
      </c>
      <c r="J97" s="24">
        <v>46169</v>
      </c>
      <c r="K97" s="22" t="s">
        <v>37</v>
      </c>
      <c r="L97" s="25">
        <v>4</v>
      </c>
      <c r="M97" s="25">
        <v>4</v>
      </c>
      <c r="N97" s="26">
        <f t="shared" si="12"/>
        <v>1</v>
      </c>
      <c r="O97" s="27">
        <v>23.88</v>
      </c>
      <c r="P97" s="28">
        <f t="shared" si="13"/>
        <v>95.52</v>
      </c>
      <c r="Q97" s="22" t="s">
        <v>258</v>
      </c>
      <c r="R97" s="46" t="s">
        <v>38</v>
      </c>
      <c r="S97" s="30" t="str">
        <f t="shared" si="14"/>
        <v>✔ OK</v>
      </c>
      <c r="T97" s="30" t="str">
        <f t="shared" si="15"/>
        <v>03/2026</v>
      </c>
      <c r="U97" s="30" t="str">
        <f t="shared" si="16"/>
        <v>OK</v>
      </c>
      <c r="V97" s="31">
        <f t="shared" si="17"/>
        <v>0</v>
      </c>
      <c r="W97" s="22" t="s">
        <v>39</v>
      </c>
      <c r="X97" s="32">
        <v>46163</v>
      </c>
      <c r="Y97" s="33" t="s">
        <v>40</v>
      </c>
      <c r="Z97" s="32">
        <v>46195</v>
      </c>
      <c r="AA97" s="34"/>
    </row>
    <row r="98" spans="2:27" ht="15.75" customHeight="1" x14ac:dyDescent="0.35">
      <c r="B98" s="11" t="s">
        <v>33</v>
      </c>
      <c r="C98" s="3" t="s">
        <v>103</v>
      </c>
      <c r="D98" s="3" t="s">
        <v>104</v>
      </c>
      <c r="E98" s="3">
        <v>4300036353</v>
      </c>
      <c r="F98" s="3">
        <v>13119342</v>
      </c>
      <c r="G98" s="3" t="s">
        <v>260</v>
      </c>
      <c r="H98" s="3" t="s">
        <v>261</v>
      </c>
      <c r="I98" s="4">
        <v>46100</v>
      </c>
      <c r="J98" s="4">
        <v>46211</v>
      </c>
      <c r="K98" s="11" t="s">
        <v>37</v>
      </c>
      <c r="L98" s="5">
        <v>4</v>
      </c>
      <c r="M98" s="5">
        <v>4</v>
      </c>
      <c r="N98" s="13">
        <f t="shared" si="12"/>
        <v>1</v>
      </c>
      <c r="O98" s="14">
        <v>7.95</v>
      </c>
      <c r="P98" s="15">
        <f t="shared" si="13"/>
        <v>31.8</v>
      </c>
      <c r="Q98" s="11" t="s">
        <v>258</v>
      </c>
      <c r="R98" s="45" t="s">
        <v>38</v>
      </c>
      <c r="S98" s="17">
        <f t="shared" si="14"/>
        <v>111</v>
      </c>
      <c r="T98" s="17" t="str">
        <f t="shared" si="15"/>
        <v>03/2026</v>
      </c>
      <c r="U98" s="17" t="str">
        <f t="shared" si="16"/>
        <v>07/2026</v>
      </c>
      <c r="V98" s="18">
        <f t="shared" si="17"/>
        <v>0</v>
      </c>
      <c r="W98" s="11" t="s">
        <v>39</v>
      </c>
      <c r="X98" s="32">
        <v>46163</v>
      </c>
      <c r="Y98" s="20" t="s">
        <v>491</v>
      </c>
      <c r="Z98" s="19"/>
      <c r="AA98" s="34" t="s">
        <v>259</v>
      </c>
    </row>
    <row r="99" spans="2:27" ht="15.75" customHeight="1" x14ac:dyDescent="0.35">
      <c r="B99" s="22" t="s">
        <v>80</v>
      </c>
      <c r="C99" s="23" t="s">
        <v>103</v>
      </c>
      <c r="D99" s="23" t="s">
        <v>104</v>
      </c>
      <c r="E99" s="23">
        <v>4300036353</v>
      </c>
      <c r="F99" s="23">
        <v>13120382</v>
      </c>
      <c r="G99" s="23" t="s">
        <v>262</v>
      </c>
      <c r="H99" s="23" t="s">
        <v>263</v>
      </c>
      <c r="I99" s="24">
        <v>46100</v>
      </c>
      <c r="J99" s="24">
        <v>46176</v>
      </c>
      <c r="K99" s="22" t="s">
        <v>37</v>
      </c>
      <c r="L99" s="25">
        <v>1</v>
      </c>
      <c r="M99" s="25">
        <v>1</v>
      </c>
      <c r="N99" s="26">
        <f t="shared" si="12"/>
        <v>1</v>
      </c>
      <c r="O99" s="27">
        <v>49.96</v>
      </c>
      <c r="P99" s="28">
        <f t="shared" si="13"/>
        <v>49.96</v>
      </c>
      <c r="Q99" s="22" t="s">
        <v>258</v>
      </c>
      <c r="R99" s="46" t="s">
        <v>38</v>
      </c>
      <c r="S99" s="30" t="str">
        <f t="shared" si="14"/>
        <v>✔ OK</v>
      </c>
      <c r="T99" s="30" t="str">
        <f t="shared" si="15"/>
        <v>03/2026</v>
      </c>
      <c r="U99" s="30" t="str">
        <f t="shared" si="16"/>
        <v>OK</v>
      </c>
      <c r="V99" s="31">
        <f t="shared" si="17"/>
        <v>0</v>
      </c>
      <c r="W99" s="22" t="s">
        <v>39</v>
      </c>
      <c r="X99" s="32">
        <v>46163</v>
      </c>
      <c r="Y99" s="33" t="s">
        <v>40</v>
      </c>
      <c r="Z99" s="32">
        <v>46195</v>
      </c>
      <c r="AA99" s="34"/>
    </row>
    <row r="100" spans="2:27" ht="15.75" customHeight="1" x14ac:dyDescent="0.35">
      <c r="B100" s="11" t="s">
        <v>192</v>
      </c>
      <c r="C100" s="3" t="s">
        <v>103</v>
      </c>
      <c r="D100" s="3" t="s">
        <v>104</v>
      </c>
      <c r="E100" s="3">
        <v>4300036353</v>
      </c>
      <c r="F100" s="3">
        <v>13120382</v>
      </c>
      <c r="G100" s="3" t="s">
        <v>262</v>
      </c>
      <c r="H100" s="3" t="s">
        <v>263</v>
      </c>
      <c r="I100" s="4">
        <v>46100</v>
      </c>
      <c r="J100" s="4">
        <v>46211</v>
      </c>
      <c r="K100" s="11" t="s">
        <v>37</v>
      </c>
      <c r="L100" s="5">
        <v>3</v>
      </c>
      <c r="M100" s="5">
        <v>3</v>
      </c>
      <c r="N100" s="13">
        <f t="shared" ref="N100:N131" si="18">IF(L100=0,0,M100/L100)</f>
        <v>1</v>
      </c>
      <c r="O100" s="14">
        <v>49.96</v>
      </c>
      <c r="P100" s="15">
        <f t="shared" ref="P100:P131" si="19">L100*O100</f>
        <v>149.88</v>
      </c>
      <c r="Q100" s="11" t="s">
        <v>258</v>
      </c>
      <c r="R100" s="45" t="s">
        <v>38</v>
      </c>
      <c r="S100" s="17">
        <f t="shared" ref="S100:S131" si="20">IF(Y100="✔","✔ OK",IF(OR(J100="",J100=0),"TBA",INT(J100-I100)))</f>
        <v>111</v>
      </c>
      <c r="T100" s="17" t="str">
        <f t="shared" ref="T100:T131" si="21">IF(I100="","",TEXT(MONTH(I100),"00")&amp;"/"&amp;YEAR(I100))</f>
        <v>03/2026</v>
      </c>
      <c r="U100" s="17" t="str">
        <f t="shared" ref="U100:U131" si="22">IF(Y100="✔","OK",IF(OR(J100="",J100=0),"",TEXT(MONTH(J100+20),"00")&amp;"/"&amp;TEXT(YEAR(J100+20),"0000")))</f>
        <v>07/2026</v>
      </c>
      <c r="V100" s="18">
        <f t="shared" ref="V100:V131" si="23">L100-M100</f>
        <v>0</v>
      </c>
      <c r="W100" s="11" t="s">
        <v>39</v>
      </c>
      <c r="X100" s="32">
        <v>46163</v>
      </c>
      <c r="Y100" s="20" t="s">
        <v>491</v>
      </c>
      <c r="Z100" s="19"/>
      <c r="AA100" s="34" t="s">
        <v>259</v>
      </c>
    </row>
    <row r="101" spans="2:27" ht="15.75" customHeight="1" x14ac:dyDescent="0.35">
      <c r="B101" s="22" t="s">
        <v>46</v>
      </c>
      <c r="C101" s="23" t="s">
        <v>103</v>
      </c>
      <c r="D101" s="23" t="s">
        <v>104</v>
      </c>
      <c r="E101" s="23">
        <v>4300036353</v>
      </c>
      <c r="F101" s="23">
        <v>13048138</v>
      </c>
      <c r="G101" s="23" t="s">
        <v>256</v>
      </c>
      <c r="H101" s="23" t="s">
        <v>257</v>
      </c>
      <c r="I101" s="24">
        <v>46100</v>
      </c>
      <c r="J101" s="24">
        <v>46169</v>
      </c>
      <c r="K101" s="22" t="s">
        <v>37</v>
      </c>
      <c r="L101" s="25">
        <v>4</v>
      </c>
      <c r="M101" s="25">
        <v>4</v>
      </c>
      <c r="N101" s="26">
        <f t="shared" si="18"/>
        <v>1</v>
      </c>
      <c r="O101" s="27">
        <v>23.88</v>
      </c>
      <c r="P101" s="28">
        <f t="shared" si="19"/>
        <v>95.52</v>
      </c>
      <c r="Q101" s="22" t="s">
        <v>258</v>
      </c>
      <c r="R101" s="46" t="s">
        <v>38</v>
      </c>
      <c r="S101" s="30" t="str">
        <f t="shared" si="20"/>
        <v>✔ OK</v>
      </c>
      <c r="T101" s="30" t="str">
        <f t="shared" si="21"/>
        <v>03/2026</v>
      </c>
      <c r="U101" s="30" t="str">
        <f t="shared" si="22"/>
        <v>OK</v>
      </c>
      <c r="V101" s="31">
        <f t="shared" si="23"/>
        <v>0</v>
      </c>
      <c r="W101" s="22" t="s">
        <v>39</v>
      </c>
      <c r="X101" s="32">
        <v>46163</v>
      </c>
      <c r="Y101" s="33" t="s">
        <v>40</v>
      </c>
      <c r="Z101" s="32">
        <v>46195</v>
      </c>
      <c r="AA101" s="34"/>
    </row>
    <row r="102" spans="2:27" ht="15.75" customHeight="1" x14ac:dyDescent="0.35">
      <c r="B102" s="11" t="s">
        <v>87</v>
      </c>
      <c r="C102" s="3" t="s">
        <v>103</v>
      </c>
      <c r="D102" s="3" t="s">
        <v>104</v>
      </c>
      <c r="E102" s="3">
        <v>4300036353</v>
      </c>
      <c r="F102" s="3">
        <v>17544606</v>
      </c>
      <c r="G102" s="3" t="s">
        <v>264</v>
      </c>
      <c r="H102" s="3" t="s">
        <v>265</v>
      </c>
      <c r="I102" s="4">
        <v>46100</v>
      </c>
      <c r="J102" s="4">
        <v>46169</v>
      </c>
      <c r="K102" s="11" t="s">
        <v>37</v>
      </c>
      <c r="L102" s="5">
        <v>20</v>
      </c>
      <c r="M102" s="5">
        <v>20</v>
      </c>
      <c r="N102" s="13">
        <f t="shared" si="18"/>
        <v>1</v>
      </c>
      <c r="O102" s="14">
        <v>4.5</v>
      </c>
      <c r="P102" s="15">
        <f t="shared" si="19"/>
        <v>90</v>
      </c>
      <c r="Q102" s="11" t="s">
        <v>258</v>
      </c>
      <c r="R102" s="45" t="s">
        <v>38</v>
      </c>
      <c r="S102" s="17" t="str">
        <f t="shared" si="20"/>
        <v>✔ OK</v>
      </c>
      <c r="T102" s="17" t="str">
        <f t="shared" si="21"/>
        <v>03/2026</v>
      </c>
      <c r="U102" s="17" t="str">
        <f t="shared" si="22"/>
        <v>OK</v>
      </c>
      <c r="V102" s="18">
        <f t="shared" si="23"/>
        <v>0</v>
      </c>
      <c r="W102" s="11" t="s">
        <v>39</v>
      </c>
      <c r="X102" s="32">
        <v>46163</v>
      </c>
      <c r="Y102" s="20" t="s">
        <v>40</v>
      </c>
      <c r="Z102" s="19">
        <v>46195</v>
      </c>
      <c r="AA102" s="34"/>
    </row>
    <row r="103" spans="2:27" ht="15.75" customHeight="1" x14ac:dyDescent="0.35">
      <c r="B103" s="22" t="s">
        <v>118</v>
      </c>
      <c r="C103" s="23" t="s">
        <v>103</v>
      </c>
      <c r="D103" s="23" t="s">
        <v>104</v>
      </c>
      <c r="E103" s="23">
        <v>4300036353</v>
      </c>
      <c r="F103" s="23">
        <v>17546208</v>
      </c>
      <c r="G103" s="23" t="s">
        <v>266</v>
      </c>
      <c r="H103" s="23" t="s">
        <v>267</v>
      </c>
      <c r="I103" s="24">
        <v>46100</v>
      </c>
      <c r="J103" s="24">
        <v>46169</v>
      </c>
      <c r="K103" s="22" t="s">
        <v>37</v>
      </c>
      <c r="L103" s="25">
        <v>20</v>
      </c>
      <c r="M103" s="25">
        <v>20</v>
      </c>
      <c r="N103" s="26">
        <f t="shared" si="18"/>
        <v>1</v>
      </c>
      <c r="O103" s="27">
        <v>1.55</v>
      </c>
      <c r="P103" s="28">
        <f t="shared" si="19"/>
        <v>31</v>
      </c>
      <c r="Q103" s="22" t="s">
        <v>258</v>
      </c>
      <c r="R103" s="46" t="s">
        <v>38</v>
      </c>
      <c r="S103" s="30" t="str">
        <f t="shared" si="20"/>
        <v>✔ OK</v>
      </c>
      <c r="T103" s="30" t="str">
        <f t="shared" si="21"/>
        <v>03/2026</v>
      </c>
      <c r="U103" s="30" t="str">
        <f t="shared" si="22"/>
        <v>OK</v>
      </c>
      <c r="V103" s="31">
        <f t="shared" si="23"/>
        <v>0</v>
      </c>
      <c r="W103" s="22" t="s">
        <v>39</v>
      </c>
      <c r="X103" s="32">
        <v>46163</v>
      </c>
      <c r="Y103" s="33" t="s">
        <v>40</v>
      </c>
      <c r="Z103" s="32">
        <v>46195</v>
      </c>
      <c r="AA103" s="34"/>
    </row>
    <row r="104" spans="2:27" ht="15.75" customHeight="1" x14ac:dyDescent="0.35">
      <c r="B104" s="11" t="s">
        <v>73</v>
      </c>
      <c r="C104" s="3" t="s">
        <v>103</v>
      </c>
      <c r="D104" s="3" t="s">
        <v>104</v>
      </c>
      <c r="E104" s="3">
        <v>4300036353</v>
      </c>
      <c r="F104" s="3">
        <v>15165110</v>
      </c>
      <c r="G104" s="3" t="s">
        <v>268</v>
      </c>
      <c r="H104" s="3" t="s">
        <v>269</v>
      </c>
      <c r="I104" s="4">
        <v>46100</v>
      </c>
      <c r="J104" s="4">
        <v>46169</v>
      </c>
      <c r="K104" s="11" t="s">
        <v>37</v>
      </c>
      <c r="L104" s="5">
        <v>20</v>
      </c>
      <c r="M104" s="5">
        <v>20</v>
      </c>
      <c r="N104" s="13">
        <f t="shared" si="18"/>
        <v>1</v>
      </c>
      <c r="O104" s="14">
        <v>5.69</v>
      </c>
      <c r="P104" s="15">
        <f t="shared" si="19"/>
        <v>113.80000000000001</v>
      </c>
      <c r="Q104" s="11" t="s">
        <v>258</v>
      </c>
      <c r="R104" s="45" t="s">
        <v>38</v>
      </c>
      <c r="S104" s="17" t="str">
        <f t="shared" si="20"/>
        <v>✔ OK</v>
      </c>
      <c r="T104" s="17" t="str">
        <f t="shared" si="21"/>
        <v>03/2026</v>
      </c>
      <c r="U104" s="17" t="str">
        <f t="shared" si="22"/>
        <v>OK</v>
      </c>
      <c r="V104" s="18">
        <f t="shared" si="23"/>
        <v>0</v>
      </c>
      <c r="W104" s="11" t="s">
        <v>39</v>
      </c>
      <c r="X104" s="32">
        <v>46163</v>
      </c>
      <c r="Y104" s="20" t="s">
        <v>40</v>
      </c>
      <c r="Z104" s="19">
        <v>46195</v>
      </c>
      <c r="AA104" s="34"/>
    </row>
    <row r="105" spans="2:27" ht="15.75" customHeight="1" x14ac:dyDescent="0.35">
      <c r="B105" s="22" t="s">
        <v>123</v>
      </c>
      <c r="C105" s="23" t="s">
        <v>103</v>
      </c>
      <c r="D105" s="23" t="s">
        <v>104</v>
      </c>
      <c r="E105" s="23">
        <v>4300036353</v>
      </c>
      <c r="F105" s="23">
        <v>17510665</v>
      </c>
      <c r="G105" s="23" t="s">
        <v>270</v>
      </c>
      <c r="H105" s="23" t="s">
        <v>271</v>
      </c>
      <c r="I105" s="24">
        <v>46100</v>
      </c>
      <c r="J105" s="24">
        <v>46204</v>
      </c>
      <c r="K105" s="22" t="s">
        <v>37</v>
      </c>
      <c r="L105" s="25">
        <v>20</v>
      </c>
      <c r="M105" s="25">
        <v>20</v>
      </c>
      <c r="N105" s="26">
        <f t="shared" si="18"/>
        <v>1</v>
      </c>
      <c r="O105" s="27">
        <v>4.5</v>
      </c>
      <c r="P105" s="28">
        <f t="shared" si="19"/>
        <v>90</v>
      </c>
      <c r="Q105" s="22" t="s">
        <v>258</v>
      </c>
      <c r="R105" s="46" t="s">
        <v>38</v>
      </c>
      <c r="S105" s="30">
        <f t="shared" si="20"/>
        <v>104</v>
      </c>
      <c r="T105" s="30" t="str">
        <f t="shared" si="21"/>
        <v>03/2026</v>
      </c>
      <c r="U105" s="30" t="str">
        <f t="shared" si="22"/>
        <v>07/2026</v>
      </c>
      <c r="V105" s="31">
        <f t="shared" si="23"/>
        <v>0</v>
      </c>
      <c r="W105" s="22" t="s">
        <v>39</v>
      </c>
      <c r="X105" s="32">
        <v>46163</v>
      </c>
      <c r="Y105" s="33" t="s">
        <v>491</v>
      </c>
      <c r="Z105" s="32"/>
      <c r="AA105" s="34" t="s">
        <v>259</v>
      </c>
    </row>
    <row r="106" spans="2:27" ht="15.75" customHeight="1" x14ac:dyDescent="0.35">
      <c r="B106" s="11" t="s">
        <v>124</v>
      </c>
      <c r="C106" s="3" t="s">
        <v>103</v>
      </c>
      <c r="D106" s="3" t="s">
        <v>104</v>
      </c>
      <c r="E106" s="3">
        <v>4300036353</v>
      </c>
      <c r="F106" s="3">
        <v>13051623</v>
      </c>
      <c r="G106" s="3" t="s">
        <v>272</v>
      </c>
      <c r="H106" s="3" t="s">
        <v>273</v>
      </c>
      <c r="I106" s="4">
        <v>46100</v>
      </c>
      <c r="J106" s="4">
        <v>46169</v>
      </c>
      <c r="K106" s="11" t="s">
        <v>37</v>
      </c>
      <c r="L106" s="5">
        <v>20</v>
      </c>
      <c r="M106" s="5">
        <v>20</v>
      </c>
      <c r="N106" s="13">
        <f t="shared" si="18"/>
        <v>1</v>
      </c>
      <c r="O106" s="14">
        <v>6.04</v>
      </c>
      <c r="P106" s="15">
        <f t="shared" si="19"/>
        <v>120.8</v>
      </c>
      <c r="Q106" s="11" t="s">
        <v>258</v>
      </c>
      <c r="R106" s="45" t="s">
        <v>38</v>
      </c>
      <c r="S106" s="17" t="str">
        <f t="shared" si="20"/>
        <v>✔ OK</v>
      </c>
      <c r="T106" s="17" t="str">
        <f t="shared" si="21"/>
        <v>03/2026</v>
      </c>
      <c r="U106" s="17" t="str">
        <f t="shared" si="22"/>
        <v>OK</v>
      </c>
      <c r="V106" s="18">
        <f t="shared" si="23"/>
        <v>0</v>
      </c>
      <c r="W106" s="11" t="s">
        <v>39</v>
      </c>
      <c r="X106" s="32">
        <v>46163</v>
      </c>
      <c r="Y106" s="20" t="s">
        <v>40</v>
      </c>
      <c r="Z106" s="19">
        <v>46195</v>
      </c>
      <c r="AA106" s="34"/>
    </row>
    <row r="107" spans="2:27" ht="15.75" customHeight="1" x14ac:dyDescent="0.35">
      <c r="B107" s="22" t="s">
        <v>274</v>
      </c>
      <c r="C107" s="23" t="s">
        <v>103</v>
      </c>
      <c r="D107" s="23" t="s">
        <v>104</v>
      </c>
      <c r="E107" s="23">
        <v>4300036353</v>
      </c>
      <c r="F107" s="23">
        <v>15173835</v>
      </c>
      <c r="G107" s="23" t="s">
        <v>275</v>
      </c>
      <c r="H107" s="23" t="s">
        <v>276</v>
      </c>
      <c r="I107" s="24">
        <v>46100</v>
      </c>
      <c r="J107" s="24">
        <v>46169</v>
      </c>
      <c r="K107" s="22" t="s">
        <v>37</v>
      </c>
      <c r="L107" s="25">
        <v>30</v>
      </c>
      <c r="M107" s="25">
        <v>30</v>
      </c>
      <c r="N107" s="26">
        <f t="shared" si="18"/>
        <v>1</v>
      </c>
      <c r="O107" s="27">
        <v>2.82</v>
      </c>
      <c r="P107" s="28">
        <f t="shared" si="19"/>
        <v>84.6</v>
      </c>
      <c r="Q107" s="22" t="s">
        <v>258</v>
      </c>
      <c r="R107" s="46" t="s">
        <v>38</v>
      </c>
      <c r="S107" s="30" t="str">
        <f t="shared" si="20"/>
        <v>✔ OK</v>
      </c>
      <c r="T107" s="30" t="str">
        <f t="shared" si="21"/>
        <v>03/2026</v>
      </c>
      <c r="U107" s="30" t="str">
        <f t="shared" si="22"/>
        <v>OK</v>
      </c>
      <c r="V107" s="31">
        <f t="shared" si="23"/>
        <v>0</v>
      </c>
      <c r="W107" s="22" t="s">
        <v>39</v>
      </c>
      <c r="X107" s="32">
        <v>46163</v>
      </c>
      <c r="Y107" s="33" t="s">
        <v>40</v>
      </c>
      <c r="Z107" s="32">
        <v>46195</v>
      </c>
      <c r="AA107" s="34"/>
    </row>
    <row r="108" spans="2:27" ht="15.75" customHeight="1" x14ac:dyDescent="0.35">
      <c r="B108" s="11" t="s">
        <v>50</v>
      </c>
      <c r="C108" s="3" t="s">
        <v>277</v>
      </c>
      <c r="D108" s="3" t="s">
        <v>278</v>
      </c>
      <c r="E108" s="3">
        <v>4300036415</v>
      </c>
      <c r="F108" s="3">
        <v>15077542</v>
      </c>
      <c r="G108" s="3" t="s">
        <v>279</v>
      </c>
      <c r="H108" s="3" t="s">
        <v>280</v>
      </c>
      <c r="I108" s="4">
        <v>46100</v>
      </c>
      <c r="J108" s="4">
        <v>46176</v>
      </c>
      <c r="K108" s="11" t="s">
        <v>37</v>
      </c>
      <c r="L108" s="5">
        <v>5</v>
      </c>
      <c r="M108" s="5">
        <v>5</v>
      </c>
      <c r="N108" s="13">
        <f t="shared" si="18"/>
        <v>1</v>
      </c>
      <c r="O108" s="14">
        <v>48.44</v>
      </c>
      <c r="P108" s="15">
        <f t="shared" si="19"/>
        <v>242.2</v>
      </c>
      <c r="Q108" s="11" t="s">
        <v>281</v>
      </c>
      <c r="R108" s="45" t="s">
        <v>38</v>
      </c>
      <c r="S108" s="17" t="str">
        <f t="shared" si="20"/>
        <v>✔ OK</v>
      </c>
      <c r="T108" s="17" t="str">
        <f t="shared" si="21"/>
        <v>03/2026</v>
      </c>
      <c r="U108" s="17" t="str">
        <f t="shared" si="22"/>
        <v>OK</v>
      </c>
      <c r="V108" s="18">
        <f t="shared" si="23"/>
        <v>0</v>
      </c>
      <c r="W108" s="11" t="s">
        <v>39</v>
      </c>
      <c r="X108" s="19">
        <v>46175</v>
      </c>
      <c r="Y108" s="20" t="s">
        <v>40</v>
      </c>
      <c r="Z108" s="19">
        <v>46195</v>
      </c>
      <c r="AA108" s="21"/>
    </row>
    <row r="109" spans="2:27" ht="15.75" customHeight="1" x14ac:dyDescent="0.35">
      <c r="B109" s="22" t="s">
        <v>91</v>
      </c>
      <c r="C109" s="23" t="s">
        <v>277</v>
      </c>
      <c r="D109" s="23" t="s">
        <v>278</v>
      </c>
      <c r="E109" s="23">
        <v>4300036415</v>
      </c>
      <c r="F109" s="23">
        <v>13039801</v>
      </c>
      <c r="G109" s="23" t="s">
        <v>282</v>
      </c>
      <c r="H109" s="23" t="s">
        <v>283</v>
      </c>
      <c r="I109" s="24">
        <v>46100</v>
      </c>
      <c r="J109" s="24">
        <v>46176</v>
      </c>
      <c r="K109" s="22" t="s">
        <v>284</v>
      </c>
      <c r="L109" s="25">
        <v>10</v>
      </c>
      <c r="M109" s="25">
        <v>10</v>
      </c>
      <c r="N109" s="26">
        <f t="shared" si="18"/>
        <v>1</v>
      </c>
      <c r="O109" s="27">
        <v>364.08</v>
      </c>
      <c r="P109" s="28">
        <f t="shared" si="19"/>
        <v>3640.7999999999997</v>
      </c>
      <c r="Q109" s="22" t="s">
        <v>281</v>
      </c>
      <c r="R109" s="46" t="s">
        <v>38</v>
      </c>
      <c r="S109" s="30" t="str">
        <f t="shared" si="20"/>
        <v>✔ OK</v>
      </c>
      <c r="T109" s="30" t="str">
        <f t="shared" si="21"/>
        <v>03/2026</v>
      </c>
      <c r="U109" s="30" t="str">
        <f t="shared" si="22"/>
        <v>OK</v>
      </c>
      <c r="V109" s="31">
        <f t="shared" si="23"/>
        <v>0</v>
      </c>
      <c r="W109" s="22" t="s">
        <v>39</v>
      </c>
      <c r="X109" s="32">
        <v>46175</v>
      </c>
      <c r="Y109" s="33" t="s">
        <v>40</v>
      </c>
      <c r="Z109" s="32">
        <v>46195</v>
      </c>
      <c r="AA109" s="34"/>
    </row>
    <row r="110" spans="2:27" ht="15.75" customHeight="1" x14ac:dyDescent="0.35">
      <c r="B110" s="11" t="s">
        <v>170</v>
      </c>
      <c r="C110" s="3" t="s">
        <v>277</v>
      </c>
      <c r="D110" s="3" t="s">
        <v>278</v>
      </c>
      <c r="E110" s="3">
        <v>4300036415</v>
      </c>
      <c r="F110" s="3">
        <v>15134397</v>
      </c>
      <c r="G110" s="3" t="s">
        <v>77</v>
      </c>
      <c r="H110" s="3" t="s">
        <v>78</v>
      </c>
      <c r="I110" s="4">
        <v>46100</v>
      </c>
      <c r="J110" s="4">
        <v>46176</v>
      </c>
      <c r="K110" s="11" t="s">
        <v>37</v>
      </c>
      <c r="L110" s="5">
        <v>20</v>
      </c>
      <c r="M110" s="5">
        <v>20</v>
      </c>
      <c r="N110" s="13">
        <f t="shared" si="18"/>
        <v>1</v>
      </c>
      <c r="O110" s="14">
        <v>69.69</v>
      </c>
      <c r="P110" s="15">
        <f t="shared" si="19"/>
        <v>1393.8</v>
      </c>
      <c r="Q110" s="11" t="s">
        <v>281</v>
      </c>
      <c r="R110" s="45" t="s">
        <v>38</v>
      </c>
      <c r="S110" s="17" t="str">
        <f t="shared" si="20"/>
        <v>✔ OK</v>
      </c>
      <c r="T110" s="17" t="str">
        <f t="shared" si="21"/>
        <v>03/2026</v>
      </c>
      <c r="U110" s="17" t="str">
        <f t="shared" si="22"/>
        <v>OK</v>
      </c>
      <c r="V110" s="18">
        <f t="shared" si="23"/>
        <v>0</v>
      </c>
      <c r="W110" s="11" t="s">
        <v>39</v>
      </c>
      <c r="X110" s="19">
        <v>46175</v>
      </c>
      <c r="Y110" s="20" t="s">
        <v>40</v>
      </c>
      <c r="Z110" s="19">
        <v>46195</v>
      </c>
      <c r="AA110" s="21"/>
    </row>
    <row r="111" spans="2:27" ht="15.75" customHeight="1" x14ac:dyDescent="0.35">
      <c r="B111" s="22" t="s">
        <v>80</v>
      </c>
      <c r="C111" s="23" t="s">
        <v>277</v>
      </c>
      <c r="D111" s="23" t="s">
        <v>278</v>
      </c>
      <c r="E111" s="23">
        <v>4300036415</v>
      </c>
      <c r="F111" s="23">
        <v>15355302</v>
      </c>
      <c r="G111" s="23" t="s">
        <v>285</v>
      </c>
      <c r="H111" s="23" t="s">
        <v>286</v>
      </c>
      <c r="I111" s="24">
        <v>46100</v>
      </c>
      <c r="J111" s="24">
        <v>46176</v>
      </c>
      <c r="K111" s="22" t="s">
        <v>37</v>
      </c>
      <c r="L111" s="25">
        <v>4</v>
      </c>
      <c r="M111" s="25">
        <v>4</v>
      </c>
      <c r="N111" s="26">
        <f t="shared" si="18"/>
        <v>1</v>
      </c>
      <c r="O111" s="27">
        <v>260.55</v>
      </c>
      <c r="P111" s="28">
        <f t="shared" si="19"/>
        <v>1042.2</v>
      </c>
      <c r="Q111" s="22" t="s">
        <v>281</v>
      </c>
      <c r="R111" s="46" t="s">
        <v>38</v>
      </c>
      <c r="S111" s="30" t="str">
        <f t="shared" si="20"/>
        <v>✔ OK</v>
      </c>
      <c r="T111" s="30" t="str">
        <f t="shared" si="21"/>
        <v>03/2026</v>
      </c>
      <c r="U111" s="30" t="str">
        <f t="shared" si="22"/>
        <v>OK</v>
      </c>
      <c r="V111" s="31">
        <f t="shared" si="23"/>
        <v>0</v>
      </c>
      <c r="W111" s="22" t="s">
        <v>39</v>
      </c>
      <c r="X111" s="32">
        <v>46175</v>
      </c>
      <c r="Y111" s="33" t="s">
        <v>40</v>
      </c>
      <c r="Z111" s="32">
        <v>46195</v>
      </c>
      <c r="AA111" s="34"/>
    </row>
    <row r="112" spans="2:27" ht="15.75" customHeight="1" x14ac:dyDescent="0.35">
      <c r="B112" s="11" t="s">
        <v>41</v>
      </c>
      <c r="C112" s="3" t="s">
        <v>277</v>
      </c>
      <c r="D112" s="3" t="s">
        <v>278</v>
      </c>
      <c r="E112" s="3">
        <v>4300036415</v>
      </c>
      <c r="F112" s="3">
        <v>15383260</v>
      </c>
      <c r="G112" s="3" t="s">
        <v>168</v>
      </c>
      <c r="H112" s="3" t="s">
        <v>169</v>
      </c>
      <c r="I112" s="4">
        <v>46100</v>
      </c>
      <c r="J112" s="4">
        <v>46176</v>
      </c>
      <c r="K112" s="11" t="s">
        <v>37</v>
      </c>
      <c r="L112" s="5">
        <v>2</v>
      </c>
      <c r="M112" s="5">
        <v>2</v>
      </c>
      <c r="N112" s="13">
        <f t="shared" si="18"/>
        <v>1</v>
      </c>
      <c r="O112" s="14">
        <v>657.44</v>
      </c>
      <c r="P112" s="15">
        <f t="shared" si="19"/>
        <v>1314.88</v>
      </c>
      <c r="Q112" s="11" t="s">
        <v>281</v>
      </c>
      <c r="R112" s="16" t="s">
        <v>38</v>
      </c>
      <c r="S112" s="17" t="str">
        <f t="shared" si="20"/>
        <v>✔ OK</v>
      </c>
      <c r="T112" s="17" t="str">
        <f t="shared" si="21"/>
        <v>03/2026</v>
      </c>
      <c r="U112" s="17" t="str">
        <f t="shared" si="22"/>
        <v>OK</v>
      </c>
      <c r="V112" s="18">
        <f t="shared" si="23"/>
        <v>0</v>
      </c>
      <c r="W112" s="11" t="s">
        <v>39</v>
      </c>
      <c r="X112" s="19">
        <v>46175</v>
      </c>
      <c r="Y112" s="20" t="s">
        <v>40</v>
      </c>
      <c r="Z112" s="19">
        <v>46195</v>
      </c>
      <c r="AA112" s="21"/>
    </row>
    <row r="113" spans="2:27" ht="15.75" customHeight="1" x14ac:dyDescent="0.35">
      <c r="B113" s="22" t="s">
        <v>46</v>
      </c>
      <c r="C113" s="23" t="s">
        <v>277</v>
      </c>
      <c r="D113" s="23" t="s">
        <v>278</v>
      </c>
      <c r="E113" s="23">
        <v>4300036415</v>
      </c>
      <c r="F113" s="23">
        <v>15134394</v>
      </c>
      <c r="G113" s="23" t="s">
        <v>287</v>
      </c>
      <c r="H113" s="23" t="s">
        <v>288</v>
      </c>
      <c r="I113" s="24">
        <v>46100</v>
      </c>
      <c r="J113" s="24">
        <v>46176</v>
      </c>
      <c r="K113" s="22" t="s">
        <v>37</v>
      </c>
      <c r="L113" s="25">
        <v>5</v>
      </c>
      <c r="M113" s="25">
        <v>5</v>
      </c>
      <c r="N113" s="26">
        <f t="shared" si="18"/>
        <v>1</v>
      </c>
      <c r="O113" s="27">
        <v>276.87</v>
      </c>
      <c r="P113" s="28">
        <f t="shared" si="19"/>
        <v>1384.35</v>
      </c>
      <c r="Q113" s="22" t="s">
        <v>281</v>
      </c>
      <c r="R113" s="29" t="s">
        <v>38</v>
      </c>
      <c r="S113" s="30" t="str">
        <f t="shared" si="20"/>
        <v>✔ OK</v>
      </c>
      <c r="T113" s="30" t="str">
        <f t="shared" si="21"/>
        <v>03/2026</v>
      </c>
      <c r="U113" s="30" t="str">
        <f t="shared" si="22"/>
        <v>OK</v>
      </c>
      <c r="V113" s="31">
        <f t="shared" si="23"/>
        <v>0</v>
      </c>
      <c r="W113" s="22" t="s">
        <v>39</v>
      </c>
      <c r="X113" s="32">
        <v>46175</v>
      </c>
      <c r="Y113" s="33" t="s">
        <v>40</v>
      </c>
      <c r="Z113" s="32">
        <v>46195</v>
      </c>
      <c r="AA113" s="34"/>
    </row>
    <row r="114" spans="2:27" ht="15.75" customHeight="1" x14ac:dyDescent="0.35">
      <c r="B114" s="11" t="s">
        <v>87</v>
      </c>
      <c r="C114" s="3" t="s">
        <v>277</v>
      </c>
      <c r="D114" s="3" t="s">
        <v>278</v>
      </c>
      <c r="E114" s="3">
        <v>4300036415</v>
      </c>
      <c r="F114" s="3">
        <v>15375665</v>
      </c>
      <c r="G114" s="3" t="s">
        <v>136</v>
      </c>
      <c r="H114" s="12" t="s">
        <v>137</v>
      </c>
      <c r="I114" s="4">
        <v>46100</v>
      </c>
      <c r="J114" s="4">
        <v>46169</v>
      </c>
      <c r="K114" s="11" t="s">
        <v>113</v>
      </c>
      <c r="L114" s="5">
        <v>1</v>
      </c>
      <c r="M114" s="5">
        <v>1</v>
      </c>
      <c r="N114" s="13">
        <f t="shared" si="18"/>
        <v>1</v>
      </c>
      <c r="O114" s="14">
        <v>102.4</v>
      </c>
      <c r="P114" s="15">
        <f t="shared" si="19"/>
        <v>102.4</v>
      </c>
      <c r="Q114" s="11" t="s">
        <v>289</v>
      </c>
      <c r="R114" s="16" t="s">
        <v>38</v>
      </c>
      <c r="S114" s="17" t="str">
        <f t="shared" si="20"/>
        <v>✔ OK</v>
      </c>
      <c r="T114" s="17" t="str">
        <f t="shared" si="21"/>
        <v>03/2026</v>
      </c>
      <c r="U114" s="17" t="str">
        <f t="shared" si="22"/>
        <v>OK</v>
      </c>
      <c r="V114" s="18">
        <f t="shared" si="23"/>
        <v>0</v>
      </c>
      <c r="W114" s="11" t="s">
        <v>39</v>
      </c>
      <c r="X114" s="19">
        <v>46175</v>
      </c>
      <c r="Y114" s="20" t="s">
        <v>40</v>
      </c>
      <c r="Z114" s="19">
        <v>46195</v>
      </c>
      <c r="AA114" s="21"/>
    </row>
    <row r="115" spans="2:27" ht="15.75" customHeight="1" x14ac:dyDescent="0.35">
      <c r="B115" s="22" t="s">
        <v>50</v>
      </c>
      <c r="C115" s="23" t="s">
        <v>290</v>
      </c>
      <c r="D115" s="23" t="s">
        <v>42</v>
      </c>
      <c r="E115" s="23">
        <v>4300034814</v>
      </c>
      <c r="F115" s="23">
        <v>15377790</v>
      </c>
      <c r="G115" s="23" t="s">
        <v>291</v>
      </c>
      <c r="H115" s="23" t="s">
        <v>292</v>
      </c>
      <c r="I115" s="24">
        <v>46077</v>
      </c>
      <c r="J115" s="24">
        <v>46155</v>
      </c>
      <c r="K115" s="22" t="s">
        <v>247</v>
      </c>
      <c r="L115" s="25">
        <v>4</v>
      </c>
      <c r="M115" s="25">
        <v>4</v>
      </c>
      <c r="N115" s="26">
        <f t="shared" si="18"/>
        <v>1</v>
      </c>
      <c r="O115" s="27">
        <v>78.83</v>
      </c>
      <c r="P115" s="28">
        <f t="shared" si="19"/>
        <v>315.32</v>
      </c>
      <c r="Q115" s="22" t="s">
        <v>293</v>
      </c>
      <c r="R115" s="29" t="s">
        <v>38</v>
      </c>
      <c r="S115" s="30" t="str">
        <f t="shared" si="20"/>
        <v>✔ OK</v>
      </c>
      <c r="T115" s="30" t="str">
        <f t="shared" si="21"/>
        <v>02/2026</v>
      </c>
      <c r="U115" s="30" t="str">
        <f t="shared" si="22"/>
        <v>OK</v>
      </c>
      <c r="V115" s="31">
        <f t="shared" si="23"/>
        <v>0</v>
      </c>
      <c r="W115" s="22" t="s">
        <v>39</v>
      </c>
      <c r="X115" s="32">
        <v>46163</v>
      </c>
      <c r="Y115" s="33" t="s">
        <v>40</v>
      </c>
      <c r="Z115" s="32">
        <v>46181</v>
      </c>
      <c r="AA115" s="34"/>
    </row>
    <row r="116" spans="2:27" ht="15.75" customHeight="1" x14ac:dyDescent="0.35">
      <c r="B116" s="11" t="s">
        <v>50</v>
      </c>
      <c r="C116" s="3" t="s">
        <v>163</v>
      </c>
      <c r="D116" s="3" t="s">
        <v>164</v>
      </c>
      <c r="E116" s="3">
        <v>4300035558</v>
      </c>
      <c r="F116" s="3">
        <v>15125827</v>
      </c>
      <c r="G116" s="3" t="s">
        <v>294</v>
      </c>
      <c r="H116" s="3" t="s">
        <v>295</v>
      </c>
      <c r="I116" s="4">
        <v>46077</v>
      </c>
      <c r="J116" s="4">
        <v>46148</v>
      </c>
      <c r="K116" s="11" t="s">
        <v>37</v>
      </c>
      <c r="L116" s="5">
        <v>4</v>
      </c>
      <c r="M116" s="5">
        <v>4</v>
      </c>
      <c r="N116" s="13">
        <f t="shared" si="18"/>
        <v>1</v>
      </c>
      <c r="O116" s="14">
        <v>123.9</v>
      </c>
      <c r="P116" s="15">
        <f t="shared" si="19"/>
        <v>495.6</v>
      </c>
      <c r="Q116" s="11" t="s">
        <v>167</v>
      </c>
      <c r="R116" s="16" t="s">
        <v>38</v>
      </c>
      <c r="S116" s="17" t="str">
        <f t="shared" si="20"/>
        <v>✔ OK</v>
      </c>
      <c r="T116" s="17" t="str">
        <f t="shared" si="21"/>
        <v>02/2026</v>
      </c>
      <c r="U116" s="17" t="str">
        <f t="shared" si="22"/>
        <v>OK</v>
      </c>
      <c r="V116" s="18">
        <f t="shared" si="23"/>
        <v>0</v>
      </c>
      <c r="W116" s="11" t="s">
        <v>39</v>
      </c>
      <c r="X116" s="19">
        <v>46163</v>
      </c>
      <c r="Y116" s="20" t="s">
        <v>40</v>
      </c>
      <c r="Z116" s="19">
        <v>46181</v>
      </c>
      <c r="AA116" s="34"/>
    </row>
    <row r="117" spans="2:27" ht="15.75" customHeight="1" x14ac:dyDescent="0.35">
      <c r="B117" s="22" t="s">
        <v>123</v>
      </c>
      <c r="C117" s="23" t="s">
        <v>198</v>
      </c>
      <c r="D117" s="23" t="s">
        <v>199</v>
      </c>
      <c r="E117" s="23">
        <v>4300037783</v>
      </c>
      <c r="F117" s="23">
        <v>15056773</v>
      </c>
      <c r="G117" s="23" t="s">
        <v>184</v>
      </c>
      <c r="H117" s="23" t="s">
        <v>185</v>
      </c>
      <c r="I117" s="24">
        <v>46154</v>
      </c>
      <c r="J117" s="24">
        <v>46195</v>
      </c>
      <c r="K117" s="22" t="s">
        <v>37</v>
      </c>
      <c r="L117" s="25">
        <v>2</v>
      </c>
      <c r="M117" s="25">
        <v>2</v>
      </c>
      <c r="N117" s="26">
        <f t="shared" si="18"/>
        <v>1</v>
      </c>
      <c r="O117" s="27">
        <v>492.38</v>
      </c>
      <c r="P117" s="28">
        <f t="shared" si="19"/>
        <v>984.76</v>
      </c>
      <c r="Q117" s="22" t="s">
        <v>67</v>
      </c>
      <c r="R117" s="48" t="s">
        <v>68</v>
      </c>
      <c r="S117" s="30">
        <f t="shared" si="20"/>
        <v>41</v>
      </c>
      <c r="T117" s="30" t="str">
        <f t="shared" si="21"/>
        <v>05/2026</v>
      </c>
      <c r="U117" s="30" t="str">
        <f t="shared" si="22"/>
        <v>07/2026</v>
      </c>
      <c r="V117" s="31">
        <f t="shared" si="23"/>
        <v>0</v>
      </c>
      <c r="W117" s="22" t="s">
        <v>39</v>
      </c>
      <c r="X117" s="32"/>
      <c r="Y117" s="33" t="s">
        <v>492</v>
      </c>
      <c r="Z117" s="32"/>
      <c r="AA117" s="41" t="s">
        <v>90</v>
      </c>
    </row>
    <row r="118" spans="2:27" ht="15.75" customHeight="1" x14ac:dyDescent="0.35">
      <c r="B118" s="11" t="s">
        <v>131</v>
      </c>
      <c r="C118" s="3" t="s">
        <v>198</v>
      </c>
      <c r="D118" s="3" t="s">
        <v>199</v>
      </c>
      <c r="E118" s="3">
        <v>4300037783</v>
      </c>
      <c r="F118" s="3">
        <v>15374646</v>
      </c>
      <c r="G118" s="3" t="s">
        <v>245</v>
      </c>
      <c r="H118" s="3" t="s">
        <v>246</v>
      </c>
      <c r="I118" s="4">
        <v>46154</v>
      </c>
      <c r="J118" s="4">
        <v>46195</v>
      </c>
      <c r="K118" s="11" t="s">
        <v>247</v>
      </c>
      <c r="L118" s="5">
        <v>6</v>
      </c>
      <c r="M118" s="5">
        <v>6</v>
      </c>
      <c r="N118" s="13">
        <f t="shared" si="18"/>
        <v>1</v>
      </c>
      <c r="O118" s="14">
        <v>36.33</v>
      </c>
      <c r="P118" s="15">
        <f t="shared" si="19"/>
        <v>217.98</v>
      </c>
      <c r="Q118" s="11" t="s">
        <v>67</v>
      </c>
      <c r="R118" s="49" t="s">
        <v>68</v>
      </c>
      <c r="S118" s="17">
        <f t="shared" si="20"/>
        <v>41</v>
      </c>
      <c r="T118" s="17" t="str">
        <f t="shared" si="21"/>
        <v>05/2026</v>
      </c>
      <c r="U118" s="17" t="str">
        <f t="shared" si="22"/>
        <v>07/2026</v>
      </c>
      <c r="V118" s="18">
        <f t="shared" si="23"/>
        <v>0</v>
      </c>
      <c r="W118" s="11" t="s">
        <v>39</v>
      </c>
      <c r="X118" s="19"/>
      <c r="Y118" s="20" t="s">
        <v>492</v>
      </c>
      <c r="Z118" s="19"/>
      <c r="AA118" s="40" t="s">
        <v>296</v>
      </c>
    </row>
    <row r="119" spans="2:27" ht="15.75" customHeight="1" x14ac:dyDescent="0.35">
      <c r="B119" s="22" t="s">
        <v>135</v>
      </c>
      <c r="C119" s="23" t="s">
        <v>198</v>
      </c>
      <c r="D119" s="23" t="s">
        <v>199</v>
      </c>
      <c r="E119" s="23">
        <v>4300037783</v>
      </c>
      <c r="F119" s="23">
        <v>15374646</v>
      </c>
      <c r="G119" s="23" t="s">
        <v>245</v>
      </c>
      <c r="H119" s="23" t="s">
        <v>246</v>
      </c>
      <c r="I119" s="24">
        <v>46154</v>
      </c>
      <c r="J119" s="24">
        <v>46195</v>
      </c>
      <c r="K119" s="22" t="s">
        <v>247</v>
      </c>
      <c r="L119" s="25">
        <v>6</v>
      </c>
      <c r="M119" s="25">
        <v>6</v>
      </c>
      <c r="N119" s="26">
        <f t="shared" si="18"/>
        <v>1</v>
      </c>
      <c r="O119" s="27">
        <v>36.33</v>
      </c>
      <c r="P119" s="28">
        <f t="shared" si="19"/>
        <v>217.98</v>
      </c>
      <c r="Q119" s="22" t="s">
        <v>67</v>
      </c>
      <c r="R119" s="48" t="s">
        <v>68</v>
      </c>
      <c r="S119" s="30">
        <f t="shared" si="20"/>
        <v>41</v>
      </c>
      <c r="T119" s="30" t="str">
        <f t="shared" si="21"/>
        <v>05/2026</v>
      </c>
      <c r="U119" s="30" t="str">
        <f t="shared" si="22"/>
        <v>07/2026</v>
      </c>
      <c r="V119" s="31">
        <f t="shared" si="23"/>
        <v>0</v>
      </c>
      <c r="W119" s="22" t="s">
        <v>39</v>
      </c>
      <c r="X119" s="32"/>
      <c r="Y119" s="33" t="s">
        <v>492</v>
      </c>
      <c r="Z119" s="32"/>
      <c r="AA119" s="41" t="s">
        <v>296</v>
      </c>
    </row>
    <row r="120" spans="2:27" ht="15.75" customHeight="1" x14ac:dyDescent="0.35">
      <c r="B120" s="11" t="s">
        <v>50</v>
      </c>
      <c r="C120" s="3" t="s">
        <v>75</v>
      </c>
      <c r="D120" s="3" t="s">
        <v>76</v>
      </c>
      <c r="E120" s="3">
        <v>4300037223</v>
      </c>
      <c r="F120" s="3">
        <v>15003876</v>
      </c>
      <c r="G120" s="3" t="s">
        <v>181</v>
      </c>
      <c r="H120" s="3" t="s">
        <v>182</v>
      </c>
      <c r="I120" s="4">
        <v>46154</v>
      </c>
      <c r="J120" s="4">
        <v>46195</v>
      </c>
      <c r="K120" s="11" t="s">
        <v>37</v>
      </c>
      <c r="L120" s="5">
        <v>1</v>
      </c>
      <c r="M120" s="5">
        <v>1</v>
      </c>
      <c r="N120" s="13">
        <f t="shared" si="18"/>
        <v>1</v>
      </c>
      <c r="O120" s="14">
        <v>123.84</v>
      </c>
      <c r="P120" s="15">
        <f t="shared" si="19"/>
        <v>123.84</v>
      </c>
      <c r="Q120" s="11" t="s">
        <v>67</v>
      </c>
      <c r="R120" s="49" t="s">
        <v>68</v>
      </c>
      <c r="S120" s="17">
        <f t="shared" si="20"/>
        <v>41</v>
      </c>
      <c r="T120" s="17" t="str">
        <f t="shared" si="21"/>
        <v>05/2026</v>
      </c>
      <c r="U120" s="17" t="str">
        <f t="shared" si="22"/>
        <v>07/2026</v>
      </c>
      <c r="V120" s="18">
        <f t="shared" si="23"/>
        <v>0</v>
      </c>
      <c r="W120" s="11" t="s">
        <v>39</v>
      </c>
      <c r="X120" s="19"/>
      <c r="Y120" s="20" t="s">
        <v>492</v>
      </c>
      <c r="Z120" s="19"/>
      <c r="AA120" s="40" t="s">
        <v>90</v>
      </c>
    </row>
    <row r="121" spans="2:27" ht="15.75" customHeight="1" x14ac:dyDescent="0.35">
      <c r="B121" s="22" t="s">
        <v>33</v>
      </c>
      <c r="C121" s="23" t="s">
        <v>75</v>
      </c>
      <c r="D121" s="23" t="s">
        <v>76</v>
      </c>
      <c r="E121" s="23">
        <v>4300037223</v>
      </c>
      <c r="F121" s="23">
        <v>15383260</v>
      </c>
      <c r="G121" s="23" t="s">
        <v>297</v>
      </c>
      <c r="H121" s="23" t="s">
        <v>169</v>
      </c>
      <c r="I121" s="24">
        <v>46154</v>
      </c>
      <c r="J121" s="24">
        <v>46195</v>
      </c>
      <c r="K121" s="22" t="s">
        <v>37</v>
      </c>
      <c r="L121" s="25">
        <v>5</v>
      </c>
      <c r="M121" s="25">
        <v>5</v>
      </c>
      <c r="N121" s="26">
        <f t="shared" si="18"/>
        <v>1</v>
      </c>
      <c r="O121" s="27">
        <v>676.38</v>
      </c>
      <c r="P121" s="28">
        <f t="shared" si="19"/>
        <v>3381.9</v>
      </c>
      <c r="Q121" s="22" t="s">
        <v>67</v>
      </c>
      <c r="R121" s="48" t="s">
        <v>68</v>
      </c>
      <c r="S121" s="30">
        <f t="shared" si="20"/>
        <v>41</v>
      </c>
      <c r="T121" s="30" t="str">
        <f t="shared" si="21"/>
        <v>05/2026</v>
      </c>
      <c r="U121" s="30" t="str">
        <f t="shared" si="22"/>
        <v>07/2026</v>
      </c>
      <c r="V121" s="31">
        <f t="shared" si="23"/>
        <v>0</v>
      </c>
      <c r="W121" s="22" t="s">
        <v>39</v>
      </c>
      <c r="X121" s="32"/>
      <c r="Y121" s="33" t="s">
        <v>492</v>
      </c>
      <c r="Z121" s="32"/>
      <c r="AA121" s="41" t="s">
        <v>90</v>
      </c>
    </row>
    <row r="122" spans="2:27" ht="15.75" customHeight="1" x14ac:dyDescent="0.35">
      <c r="B122" s="11" t="s">
        <v>80</v>
      </c>
      <c r="C122" s="3" t="s">
        <v>75</v>
      </c>
      <c r="D122" s="3" t="s">
        <v>76</v>
      </c>
      <c r="E122" s="3">
        <v>4300037223</v>
      </c>
      <c r="F122" s="3">
        <v>15055683</v>
      </c>
      <c r="G122" s="3" t="s">
        <v>132</v>
      </c>
      <c r="H122" s="3" t="s">
        <v>133</v>
      </c>
      <c r="I122" s="4">
        <v>46154</v>
      </c>
      <c r="J122" s="4">
        <v>46195</v>
      </c>
      <c r="K122" s="11" t="s">
        <v>37</v>
      </c>
      <c r="L122" s="5">
        <v>8</v>
      </c>
      <c r="M122" s="5">
        <v>8</v>
      </c>
      <c r="N122" s="13">
        <f t="shared" si="18"/>
        <v>1</v>
      </c>
      <c r="O122" s="14">
        <v>993.02</v>
      </c>
      <c r="P122" s="15">
        <f t="shared" si="19"/>
        <v>7944.16</v>
      </c>
      <c r="Q122" s="11" t="s">
        <v>67</v>
      </c>
      <c r="R122" s="49" t="s">
        <v>68</v>
      </c>
      <c r="S122" s="17">
        <f t="shared" si="20"/>
        <v>41</v>
      </c>
      <c r="T122" s="17" t="str">
        <f t="shared" si="21"/>
        <v>05/2026</v>
      </c>
      <c r="U122" s="17" t="str">
        <f t="shared" si="22"/>
        <v>07/2026</v>
      </c>
      <c r="V122" s="18">
        <f t="shared" si="23"/>
        <v>0</v>
      </c>
      <c r="W122" s="11" t="s">
        <v>39</v>
      </c>
      <c r="X122" s="19"/>
      <c r="Y122" s="20" t="s">
        <v>492</v>
      </c>
      <c r="Z122" s="19"/>
      <c r="AA122" s="40" t="s">
        <v>90</v>
      </c>
    </row>
    <row r="123" spans="2:27" ht="15.75" customHeight="1" x14ac:dyDescent="0.35">
      <c r="B123" s="22" t="s">
        <v>41</v>
      </c>
      <c r="C123" s="23" t="s">
        <v>75</v>
      </c>
      <c r="D123" s="23" t="s">
        <v>76</v>
      </c>
      <c r="E123" s="23">
        <v>4300037223</v>
      </c>
      <c r="F123" s="23">
        <v>15501296</v>
      </c>
      <c r="G123" s="23" t="s">
        <v>59</v>
      </c>
      <c r="H123" s="23" t="s">
        <v>60</v>
      </c>
      <c r="I123" s="24">
        <v>46154</v>
      </c>
      <c r="J123" s="24">
        <v>46195</v>
      </c>
      <c r="K123" s="22" t="s">
        <v>37</v>
      </c>
      <c r="L123" s="25">
        <v>1</v>
      </c>
      <c r="M123" s="25">
        <v>1</v>
      </c>
      <c r="N123" s="26">
        <f t="shared" si="18"/>
        <v>1</v>
      </c>
      <c r="O123" s="27">
        <v>1048.8699999999999</v>
      </c>
      <c r="P123" s="28">
        <f t="shared" si="19"/>
        <v>1048.8699999999999</v>
      </c>
      <c r="Q123" s="22" t="s">
        <v>67</v>
      </c>
      <c r="R123" s="48" t="s">
        <v>68</v>
      </c>
      <c r="S123" s="30">
        <f t="shared" si="20"/>
        <v>41</v>
      </c>
      <c r="T123" s="30" t="str">
        <f t="shared" si="21"/>
        <v>05/2026</v>
      </c>
      <c r="U123" s="30" t="str">
        <f t="shared" si="22"/>
        <v>07/2026</v>
      </c>
      <c r="V123" s="31">
        <f t="shared" si="23"/>
        <v>0</v>
      </c>
      <c r="W123" s="22" t="s">
        <v>39</v>
      </c>
      <c r="X123" s="32"/>
      <c r="Y123" s="33" t="s">
        <v>492</v>
      </c>
      <c r="Z123" s="32"/>
      <c r="AA123" s="41" t="s">
        <v>90</v>
      </c>
    </row>
    <row r="124" spans="2:27" ht="15.75" customHeight="1" x14ac:dyDescent="0.35">
      <c r="B124" s="11" t="s">
        <v>91</v>
      </c>
      <c r="C124" s="3" t="s">
        <v>81</v>
      </c>
      <c r="D124" s="3" t="s">
        <v>82</v>
      </c>
      <c r="E124" s="3">
        <v>4300037815</v>
      </c>
      <c r="F124" s="3">
        <v>15419258</v>
      </c>
      <c r="G124" s="3" t="s">
        <v>212</v>
      </c>
      <c r="H124" s="12" t="s">
        <v>213</v>
      </c>
      <c r="I124" s="4">
        <v>46154</v>
      </c>
      <c r="J124" s="4">
        <v>46225</v>
      </c>
      <c r="K124" s="11" t="s">
        <v>37</v>
      </c>
      <c r="L124" s="5">
        <v>2</v>
      </c>
      <c r="M124" s="5">
        <v>2</v>
      </c>
      <c r="N124" s="13">
        <f t="shared" si="18"/>
        <v>1</v>
      </c>
      <c r="O124" s="14">
        <v>201.25</v>
      </c>
      <c r="P124" s="15">
        <f t="shared" si="19"/>
        <v>402.5</v>
      </c>
      <c r="Q124" s="11" t="s">
        <v>67</v>
      </c>
      <c r="R124" s="49" t="s">
        <v>68</v>
      </c>
      <c r="S124" s="17">
        <f t="shared" si="20"/>
        <v>71</v>
      </c>
      <c r="T124" s="17" t="str">
        <f t="shared" si="21"/>
        <v>05/2026</v>
      </c>
      <c r="U124" s="17" t="str">
        <f t="shared" si="22"/>
        <v>08/2026</v>
      </c>
      <c r="V124" s="18">
        <f t="shared" si="23"/>
        <v>0</v>
      </c>
      <c r="W124" s="11" t="s">
        <v>39</v>
      </c>
      <c r="X124" s="19"/>
      <c r="Y124" s="20" t="s">
        <v>55</v>
      </c>
      <c r="Z124" s="19"/>
      <c r="AA124" s="40" t="s">
        <v>90</v>
      </c>
    </row>
    <row r="125" spans="2:27" ht="15.75" customHeight="1" x14ac:dyDescent="0.35">
      <c r="B125" s="22" t="s">
        <v>118</v>
      </c>
      <c r="C125" s="23" t="s">
        <v>81</v>
      </c>
      <c r="D125" s="23" t="s">
        <v>82</v>
      </c>
      <c r="E125" s="23">
        <v>4300037815</v>
      </c>
      <c r="F125" s="23">
        <v>17510662</v>
      </c>
      <c r="G125" s="23" t="s">
        <v>298</v>
      </c>
      <c r="H125" s="23" t="s">
        <v>299</v>
      </c>
      <c r="I125" s="24">
        <v>46154</v>
      </c>
      <c r="J125" s="24">
        <v>46195</v>
      </c>
      <c r="K125" s="22" t="s">
        <v>37</v>
      </c>
      <c r="L125" s="25">
        <v>12</v>
      </c>
      <c r="M125" s="25">
        <v>12</v>
      </c>
      <c r="N125" s="26">
        <f t="shared" si="18"/>
        <v>1</v>
      </c>
      <c r="O125" s="27">
        <v>1.89</v>
      </c>
      <c r="P125" s="28">
        <f t="shared" si="19"/>
        <v>22.68</v>
      </c>
      <c r="Q125" s="22" t="s">
        <v>67</v>
      </c>
      <c r="R125" s="48" t="s">
        <v>68</v>
      </c>
      <c r="S125" s="30">
        <f t="shared" si="20"/>
        <v>41</v>
      </c>
      <c r="T125" s="30" t="str">
        <f t="shared" si="21"/>
        <v>05/2026</v>
      </c>
      <c r="U125" s="30" t="str">
        <f t="shared" si="22"/>
        <v>07/2026</v>
      </c>
      <c r="V125" s="31">
        <f t="shared" si="23"/>
        <v>0</v>
      </c>
      <c r="W125" s="22" t="s">
        <v>39</v>
      </c>
      <c r="X125" s="32"/>
      <c r="Y125" s="33" t="s">
        <v>492</v>
      </c>
      <c r="Z125" s="32"/>
      <c r="AA125" s="41" t="s">
        <v>90</v>
      </c>
    </row>
    <row r="126" spans="2:27" ht="15.75" customHeight="1" x14ac:dyDescent="0.35">
      <c r="B126" s="11" t="s">
        <v>73</v>
      </c>
      <c r="C126" s="3" t="s">
        <v>81</v>
      </c>
      <c r="D126" s="3" t="s">
        <v>82</v>
      </c>
      <c r="E126" s="3">
        <v>4300037815</v>
      </c>
      <c r="F126" s="3">
        <v>15722015</v>
      </c>
      <c r="G126" s="3" t="s">
        <v>300</v>
      </c>
      <c r="H126" s="3" t="s">
        <v>301</v>
      </c>
      <c r="I126" s="4">
        <v>46154</v>
      </c>
      <c r="J126" s="4">
        <v>46195</v>
      </c>
      <c r="K126" s="11" t="s">
        <v>247</v>
      </c>
      <c r="L126" s="5">
        <v>6</v>
      </c>
      <c r="M126" s="5">
        <v>6</v>
      </c>
      <c r="N126" s="13">
        <f t="shared" si="18"/>
        <v>1</v>
      </c>
      <c r="O126" s="14">
        <v>28.27</v>
      </c>
      <c r="P126" s="15">
        <f t="shared" si="19"/>
        <v>169.62</v>
      </c>
      <c r="Q126" s="11" t="s">
        <v>67</v>
      </c>
      <c r="R126" s="49" t="s">
        <v>68</v>
      </c>
      <c r="S126" s="17">
        <f t="shared" si="20"/>
        <v>41</v>
      </c>
      <c r="T126" s="17" t="str">
        <f t="shared" si="21"/>
        <v>05/2026</v>
      </c>
      <c r="U126" s="17" t="str">
        <f t="shared" si="22"/>
        <v>07/2026</v>
      </c>
      <c r="V126" s="18">
        <f t="shared" si="23"/>
        <v>0</v>
      </c>
      <c r="W126" s="11" t="s">
        <v>39</v>
      </c>
      <c r="X126" s="19"/>
      <c r="Y126" s="20" t="s">
        <v>492</v>
      </c>
      <c r="Z126" s="19"/>
      <c r="AA126" s="40" t="s">
        <v>296</v>
      </c>
    </row>
    <row r="127" spans="2:27" ht="15.75" customHeight="1" x14ac:dyDescent="0.35">
      <c r="B127" s="22" t="s">
        <v>123</v>
      </c>
      <c r="C127" s="23" t="s">
        <v>81</v>
      </c>
      <c r="D127" s="23" t="s">
        <v>82</v>
      </c>
      <c r="E127" s="23">
        <v>4300037815</v>
      </c>
      <c r="F127" s="23">
        <v>13065480</v>
      </c>
      <c r="G127" s="23" t="s">
        <v>302</v>
      </c>
      <c r="H127" s="23" t="s">
        <v>303</v>
      </c>
      <c r="I127" s="24">
        <v>46154</v>
      </c>
      <c r="J127" s="24">
        <v>46195</v>
      </c>
      <c r="K127" s="22" t="s">
        <v>37</v>
      </c>
      <c r="L127" s="25">
        <v>8</v>
      </c>
      <c r="M127" s="25">
        <v>8</v>
      </c>
      <c r="N127" s="26">
        <f t="shared" si="18"/>
        <v>1</v>
      </c>
      <c r="O127" s="27">
        <v>12.87</v>
      </c>
      <c r="P127" s="28">
        <f t="shared" si="19"/>
        <v>102.96</v>
      </c>
      <c r="Q127" s="22" t="s">
        <v>67</v>
      </c>
      <c r="R127" s="48" t="s">
        <v>68</v>
      </c>
      <c r="S127" s="30">
        <f t="shared" si="20"/>
        <v>41</v>
      </c>
      <c r="T127" s="30" t="str">
        <f t="shared" si="21"/>
        <v>05/2026</v>
      </c>
      <c r="U127" s="30" t="str">
        <f t="shared" si="22"/>
        <v>07/2026</v>
      </c>
      <c r="V127" s="31">
        <f t="shared" si="23"/>
        <v>0</v>
      </c>
      <c r="W127" s="22" t="s">
        <v>39</v>
      </c>
      <c r="X127" s="32"/>
      <c r="Y127" s="33" t="s">
        <v>492</v>
      </c>
      <c r="Z127" s="32"/>
      <c r="AA127" s="41" t="s">
        <v>90</v>
      </c>
    </row>
    <row r="128" spans="2:27" ht="15.75" customHeight="1" x14ac:dyDescent="0.35">
      <c r="B128" s="11" t="s">
        <v>50</v>
      </c>
      <c r="C128" s="3" t="s">
        <v>233</v>
      </c>
      <c r="D128" s="3" t="s">
        <v>234</v>
      </c>
      <c r="E128" s="3"/>
      <c r="F128" s="3"/>
      <c r="G128" s="12" t="s">
        <v>304</v>
      </c>
      <c r="H128" s="12" t="s">
        <v>305</v>
      </c>
      <c r="I128" s="4">
        <v>46129</v>
      </c>
      <c r="J128" s="4">
        <v>46204</v>
      </c>
      <c r="K128" s="11" t="s">
        <v>37</v>
      </c>
      <c r="L128" s="5">
        <v>2</v>
      </c>
      <c r="M128" s="5">
        <v>2</v>
      </c>
      <c r="N128" s="13">
        <f t="shared" si="18"/>
        <v>1</v>
      </c>
      <c r="O128" s="14">
        <v>947.6</v>
      </c>
      <c r="P128" s="15">
        <f t="shared" si="19"/>
        <v>1895.2</v>
      </c>
      <c r="Q128" s="11" t="s">
        <v>67</v>
      </c>
      <c r="R128" s="49" t="s">
        <v>68</v>
      </c>
      <c r="S128" s="17">
        <f t="shared" si="20"/>
        <v>75</v>
      </c>
      <c r="T128" s="17" t="str">
        <f t="shared" si="21"/>
        <v>04/2026</v>
      </c>
      <c r="U128" s="17" t="str">
        <f t="shared" si="22"/>
        <v>07/2026</v>
      </c>
      <c r="V128" s="18">
        <f t="shared" si="23"/>
        <v>0</v>
      </c>
      <c r="W128" s="11" t="s">
        <v>39</v>
      </c>
      <c r="X128" s="19"/>
      <c r="Y128" s="20" t="s">
        <v>492</v>
      </c>
      <c r="Z128" s="19"/>
      <c r="AA128" s="40" t="s">
        <v>306</v>
      </c>
    </row>
    <row r="129" spans="2:27" ht="15.75" customHeight="1" x14ac:dyDescent="0.35">
      <c r="B129" s="22" t="s">
        <v>91</v>
      </c>
      <c r="C129" s="23" t="s">
        <v>238</v>
      </c>
      <c r="D129" s="23" t="s">
        <v>239</v>
      </c>
      <c r="E129" s="23">
        <v>4300036955</v>
      </c>
      <c r="F129" s="23">
        <v>15004591</v>
      </c>
      <c r="G129" s="23" t="s">
        <v>241</v>
      </c>
      <c r="H129" s="23" t="s">
        <v>242</v>
      </c>
      <c r="I129" s="24">
        <v>46121</v>
      </c>
      <c r="J129" s="24">
        <v>46204</v>
      </c>
      <c r="K129" s="22" t="s">
        <v>37</v>
      </c>
      <c r="L129" s="25">
        <v>37</v>
      </c>
      <c r="M129" s="25">
        <v>37</v>
      </c>
      <c r="N129" s="26">
        <f t="shared" si="18"/>
        <v>1</v>
      </c>
      <c r="O129" s="27">
        <v>838.97</v>
      </c>
      <c r="P129" s="28">
        <f t="shared" si="19"/>
        <v>31041.89</v>
      </c>
      <c r="Q129" s="22">
        <v>12764</v>
      </c>
      <c r="R129" s="48" t="s">
        <v>114</v>
      </c>
      <c r="S129" s="30">
        <f t="shared" si="20"/>
        <v>83</v>
      </c>
      <c r="T129" s="30" t="str">
        <f t="shared" si="21"/>
        <v>04/2026</v>
      </c>
      <c r="U129" s="30" t="str">
        <f t="shared" si="22"/>
        <v>07/2026</v>
      </c>
      <c r="V129" s="31">
        <f t="shared" si="23"/>
        <v>0</v>
      </c>
      <c r="W129" s="22" t="s">
        <v>39</v>
      </c>
      <c r="X129" s="32"/>
      <c r="Y129" s="33" t="s">
        <v>492</v>
      </c>
      <c r="Z129" s="32"/>
      <c r="AA129" s="41" t="s">
        <v>115</v>
      </c>
    </row>
    <row r="130" spans="2:27" ht="15.75" customHeight="1" x14ac:dyDescent="0.35">
      <c r="B130" s="11" t="s">
        <v>97</v>
      </c>
      <c r="C130" s="3" t="s">
        <v>238</v>
      </c>
      <c r="D130" s="3" t="s">
        <v>239</v>
      </c>
      <c r="E130" s="3">
        <v>4300036955</v>
      </c>
      <c r="F130" s="3">
        <v>15004591</v>
      </c>
      <c r="G130" s="3" t="s">
        <v>241</v>
      </c>
      <c r="H130" s="3" t="s">
        <v>242</v>
      </c>
      <c r="I130" s="4">
        <v>46121</v>
      </c>
      <c r="J130" s="4">
        <v>46204</v>
      </c>
      <c r="K130" s="11" t="s">
        <v>37</v>
      </c>
      <c r="L130" s="5">
        <v>33</v>
      </c>
      <c r="M130" s="5">
        <v>33</v>
      </c>
      <c r="N130" s="13">
        <f t="shared" si="18"/>
        <v>1</v>
      </c>
      <c r="O130" s="14">
        <v>838.97</v>
      </c>
      <c r="P130" s="15">
        <f t="shared" si="19"/>
        <v>27686.010000000002</v>
      </c>
      <c r="Q130" s="11">
        <v>12764</v>
      </c>
      <c r="R130" s="49" t="s">
        <v>114</v>
      </c>
      <c r="S130" s="17">
        <f t="shared" si="20"/>
        <v>83</v>
      </c>
      <c r="T130" s="17" t="str">
        <f t="shared" si="21"/>
        <v>04/2026</v>
      </c>
      <c r="U130" s="17" t="str">
        <f t="shared" si="22"/>
        <v>07/2026</v>
      </c>
      <c r="V130" s="18">
        <f t="shared" si="23"/>
        <v>0</v>
      </c>
      <c r="W130" s="11" t="s">
        <v>39</v>
      </c>
      <c r="X130" s="19"/>
      <c r="Y130" s="20" t="s">
        <v>492</v>
      </c>
      <c r="Z130" s="19"/>
      <c r="AA130" s="40" t="s">
        <v>115</v>
      </c>
    </row>
    <row r="131" spans="2:27" ht="15.75" customHeight="1" x14ac:dyDescent="0.35">
      <c r="B131" s="22" t="s">
        <v>73</v>
      </c>
      <c r="C131" s="23" t="s">
        <v>238</v>
      </c>
      <c r="D131" s="23" t="s">
        <v>239</v>
      </c>
      <c r="E131" s="23">
        <v>4300036955</v>
      </c>
      <c r="F131" s="23">
        <v>13188470</v>
      </c>
      <c r="G131" s="23" t="s">
        <v>65</v>
      </c>
      <c r="H131" s="23" t="s">
        <v>66</v>
      </c>
      <c r="I131" s="24">
        <v>46121</v>
      </c>
      <c r="J131" s="24">
        <v>46204</v>
      </c>
      <c r="K131" s="22" t="s">
        <v>37</v>
      </c>
      <c r="L131" s="25">
        <v>2</v>
      </c>
      <c r="M131" s="25">
        <v>2</v>
      </c>
      <c r="N131" s="26">
        <f t="shared" si="18"/>
        <v>1</v>
      </c>
      <c r="O131" s="27">
        <v>1449.22</v>
      </c>
      <c r="P131" s="28">
        <f t="shared" si="19"/>
        <v>2898.44</v>
      </c>
      <c r="Q131" s="22">
        <v>12764</v>
      </c>
      <c r="R131" s="48" t="s">
        <v>114</v>
      </c>
      <c r="S131" s="30">
        <f t="shared" si="20"/>
        <v>83</v>
      </c>
      <c r="T131" s="30" t="str">
        <f t="shared" si="21"/>
        <v>04/2026</v>
      </c>
      <c r="U131" s="30" t="str">
        <f t="shared" si="22"/>
        <v>07/2026</v>
      </c>
      <c r="V131" s="31">
        <f t="shared" si="23"/>
        <v>0</v>
      </c>
      <c r="W131" s="22" t="s">
        <v>39</v>
      </c>
      <c r="X131" s="32"/>
      <c r="Y131" s="33" t="s">
        <v>492</v>
      </c>
      <c r="Z131" s="32"/>
      <c r="AA131" s="41" t="s">
        <v>115</v>
      </c>
    </row>
    <row r="132" spans="2:27" ht="15.75" customHeight="1" x14ac:dyDescent="0.35">
      <c r="B132" s="11" t="s">
        <v>50</v>
      </c>
      <c r="C132" s="3" t="s">
        <v>92</v>
      </c>
      <c r="D132" s="3" t="s">
        <v>93</v>
      </c>
      <c r="E132" s="3">
        <v>4300034374</v>
      </c>
      <c r="F132" s="3">
        <v>15056773</v>
      </c>
      <c r="G132" s="3" t="s">
        <v>184</v>
      </c>
      <c r="H132" s="3" t="s">
        <v>185</v>
      </c>
      <c r="I132" s="4">
        <v>46113</v>
      </c>
      <c r="J132" s="4">
        <v>46183</v>
      </c>
      <c r="K132" s="11" t="s">
        <v>37</v>
      </c>
      <c r="L132" s="5">
        <v>10</v>
      </c>
      <c r="M132" s="5">
        <v>10</v>
      </c>
      <c r="N132" s="13">
        <f t="shared" ref="N132:N163" si="24">IF(L132=0,0,M132/L132)</f>
        <v>1</v>
      </c>
      <c r="O132" s="14">
        <v>478.59</v>
      </c>
      <c r="P132" s="15">
        <f t="shared" ref="P132:P163" si="25">L132*O132</f>
        <v>4785.8999999999996</v>
      </c>
      <c r="Q132" s="11">
        <v>12755</v>
      </c>
      <c r="R132" s="49" t="s">
        <v>38</v>
      </c>
      <c r="S132" s="17" t="str">
        <f t="shared" ref="S132:S163" si="26">IF(Y132="✔","✔ OK",IF(OR(J132="",J132=0),"TBA",INT(J132-I132)))</f>
        <v>✔ OK</v>
      </c>
      <c r="T132" s="17" t="str">
        <f t="shared" ref="T132:T163" si="27">IF(I132="","",TEXT(MONTH(I132),"00")&amp;"/"&amp;YEAR(I132))</f>
        <v>04/2026</v>
      </c>
      <c r="U132" s="17" t="str">
        <f t="shared" ref="U132:U141" si="28">IF(Y132="✔","OK",IF(OR(J132="",J132=0),"",TEXT(MONTH(J132+20),"00")&amp;"/"&amp;TEXT(YEAR(J132+20),"0000")))</f>
        <v>OK</v>
      </c>
      <c r="V132" s="18">
        <f t="shared" ref="V132:V163" si="29">L132-M132</f>
        <v>0</v>
      </c>
      <c r="W132" s="11" t="s">
        <v>39</v>
      </c>
      <c r="X132" s="19">
        <v>46175</v>
      </c>
      <c r="Y132" s="20" t="s">
        <v>40</v>
      </c>
      <c r="Z132" s="19">
        <v>46195</v>
      </c>
      <c r="AA132" s="21"/>
    </row>
    <row r="133" spans="2:27" ht="15.75" customHeight="1" x14ac:dyDescent="0.35">
      <c r="B133" s="22" t="s">
        <v>307</v>
      </c>
      <c r="C133" s="23" t="s">
        <v>221</v>
      </c>
      <c r="D133" s="23">
        <v>262910450</v>
      </c>
      <c r="E133" s="23">
        <v>4300038547</v>
      </c>
      <c r="F133" s="23">
        <v>17563131</v>
      </c>
      <c r="G133" s="23" t="s">
        <v>222</v>
      </c>
      <c r="H133" s="23" t="s">
        <v>223</v>
      </c>
      <c r="I133" s="24">
        <v>46163</v>
      </c>
      <c r="J133" s="24">
        <v>46189</v>
      </c>
      <c r="K133" s="22" t="s">
        <v>37</v>
      </c>
      <c r="L133" s="25">
        <v>20</v>
      </c>
      <c r="M133" s="25">
        <v>20</v>
      </c>
      <c r="N133" s="26">
        <f t="shared" si="24"/>
        <v>1</v>
      </c>
      <c r="O133" s="27">
        <v>192.03</v>
      </c>
      <c r="P133" s="28">
        <f t="shared" si="25"/>
        <v>3840.6</v>
      </c>
      <c r="Q133" s="22">
        <v>12739</v>
      </c>
      <c r="R133" s="48" t="s">
        <v>38</v>
      </c>
      <c r="S133" s="30" t="str">
        <f t="shared" si="26"/>
        <v>✔ OK</v>
      </c>
      <c r="T133" s="30" t="str">
        <f t="shared" si="27"/>
        <v>05/2026</v>
      </c>
      <c r="U133" s="30" t="str">
        <f t="shared" si="28"/>
        <v>OK</v>
      </c>
      <c r="V133" s="31">
        <f t="shared" si="29"/>
        <v>0</v>
      </c>
      <c r="W133" s="22" t="s">
        <v>39</v>
      </c>
      <c r="X133" s="32">
        <v>46175</v>
      </c>
      <c r="Y133" s="33" t="s">
        <v>40</v>
      </c>
      <c r="Z133" s="32">
        <v>46195</v>
      </c>
      <c r="AA133" s="34"/>
    </row>
    <row r="134" spans="2:27" ht="15.75" customHeight="1" x14ac:dyDescent="0.35">
      <c r="B134" s="11" t="s">
        <v>91</v>
      </c>
      <c r="C134" s="3" t="s">
        <v>221</v>
      </c>
      <c r="D134" s="3">
        <v>262910450</v>
      </c>
      <c r="E134" s="3">
        <v>4300038547</v>
      </c>
      <c r="F134" s="3">
        <v>17563129</v>
      </c>
      <c r="G134" s="3" t="s">
        <v>308</v>
      </c>
      <c r="H134" s="3" t="s">
        <v>309</v>
      </c>
      <c r="I134" s="4">
        <v>46163</v>
      </c>
      <c r="J134" s="4">
        <v>46191</v>
      </c>
      <c r="K134" s="11" t="s">
        <v>37</v>
      </c>
      <c r="L134" s="5">
        <v>50</v>
      </c>
      <c r="M134" s="5">
        <v>50</v>
      </c>
      <c r="N134" s="13">
        <f t="shared" si="24"/>
        <v>1</v>
      </c>
      <c r="O134" s="14">
        <v>138.68</v>
      </c>
      <c r="P134" s="15">
        <f t="shared" si="25"/>
        <v>6934</v>
      </c>
      <c r="Q134" s="11">
        <v>12751</v>
      </c>
      <c r="R134" s="49" t="s">
        <v>38</v>
      </c>
      <c r="S134" s="17" t="str">
        <f t="shared" si="26"/>
        <v>✔ OK</v>
      </c>
      <c r="T134" s="17" t="str">
        <f t="shared" si="27"/>
        <v>05/2026</v>
      </c>
      <c r="U134" s="17" t="str">
        <f t="shared" si="28"/>
        <v>OK</v>
      </c>
      <c r="V134" s="18">
        <f t="shared" si="29"/>
        <v>0</v>
      </c>
      <c r="W134" s="11" t="s">
        <v>39</v>
      </c>
      <c r="X134" s="19">
        <v>46175</v>
      </c>
      <c r="Y134" s="20" t="s">
        <v>40</v>
      </c>
      <c r="Z134" s="19">
        <v>46195</v>
      </c>
      <c r="AA134" s="21"/>
    </row>
    <row r="135" spans="2:27" ht="15.75" customHeight="1" x14ac:dyDescent="0.35">
      <c r="B135" s="22" t="s">
        <v>33</v>
      </c>
      <c r="C135" s="23" t="s">
        <v>198</v>
      </c>
      <c r="D135" s="23" t="s">
        <v>199</v>
      </c>
      <c r="E135" s="23">
        <v>4300037783</v>
      </c>
      <c r="F135" s="23">
        <v>15055680</v>
      </c>
      <c r="G135" s="23" t="s">
        <v>210</v>
      </c>
      <c r="H135" s="35" t="s">
        <v>211</v>
      </c>
      <c r="I135" s="24">
        <v>46154</v>
      </c>
      <c r="J135" s="24">
        <v>46195</v>
      </c>
      <c r="K135" s="22" t="s">
        <v>37</v>
      </c>
      <c r="L135" s="25">
        <v>15</v>
      </c>
      <c r="M135" s="25">
        <v>15</v>
      </c>
      <c r="N135" s="26">
        <f t="shared" si="24"/>
        <v>1</v>
      </c>
      <c r="O135" s="27">
        <v>308.44</v>
      </c>
      <c r="P135" s="28">
        <f t="shared" si="25"/>
        <v>4626.6000000000004</v>
      </c>
      <c r="Q135" s="22" t="s">
        <v>67</v>
      </c>
      <c r="R135" s="48" t="s">
        <v>68</v>
      </c>
      <c r="S135" s="30">
        <f t="shared" si="26"/>
        <v>41</v>
      </c>
      <c r="T135" s="30" t="str">
        <f t="shared" si="27"/>
        <v>05/2026</v>
      </c>
      <c r="U135" s="30" t="str">
        <f t="shared" si="28"/>
        <v>07/2026</v>
      </c>
      <c r="V135" s="31">
        <f t="shared" si="29"/>
        <v>0</v>
      </c>
      <c r="W135" s="22" t="s">
        <v>39</v>
      </c>
      <c r="X135" s="32"/>
      <c r="Y135" s="33" t="s">
        <v>492</v>
      </c>
      <c r="Z135" s="32"/>
      <c r="AA135" s="41" t="s">
        <v>90</v>
      </c>
    </row>
    <row r="136" spans="2:27" ht="15.75" customHeight="1" x14ac:dyDescent="0.35">
      <c r="B136" s="11" t="s">
        <v>80</v>
      </c>
      <c r="C136" s="3" t="s">
        <v>198</v>
      </c>
      <c r="D136" s="3" t="s">
        <v>199</v>
      </c>
      <c r="E136" s="3">
        <v>4300037783</v>
      </c>
      <c r="F136" s="3">
        <v>15153017</v>
      </c>
      <c r="G136" s="3" t="s">
        <v>174</v>
      </c>
      <c r="H136" s="3" t="s">
        <v>250</v>
      </c>
      <c r="I136" s="4">
        <v>46154</v>
      </c>
      <c r="J136" s="4">
        <v>46195</v>
      </c>
      <c r="K136" s="11" t="s">
        <v>37</v>
      </c>
      <c r="L136" s="5">
        <v>1</v>
      </c>
      <c r="M136" s="5">
        <v>1</v>
      </c>
      <c r="N136" s="13">
        <f t="shared" si="24"/>
        <v>1</v>
      </c>
      <c r="O136" s="14">
        <v>46.04</v>
      </c>
      <c r="P136" s="15">
        <f t="shared" si="25"/>
        <v>46.04</v>
      </c>
      <c r="Q136" s="11" t="s">
        <v>67</v>
      </c>
      <c r="R136" s="49" t="s">
        <v>68</v>
      </c>
      <c r="S136" s="17">
        <f t="shared" si="26"/>
        <v>41</v>
      </c>
      <c r="T136" s="17" t="str">
        <f t="shared" si="27"/>
        <v>05/2026</v>
      </c>
      <c r="U136" s="17" t="str">
        <f t="shared" si="28"/>
        <v>07/2026</v>
      </c>
      <c r="V136" s="18">
        <f t="shared" si="29"/>
        <v>0</v>
      </c>
      <c r="W136" s="11" t="s">
        <v>39</v>
      </c>
      <c r="X136" s="19"/>
      <c r="Y136" s="20" t="s">
        <v>492</v>
      </c>
      <c r="Z136" s="19"/>
      <c r="AA136" s="40" t="s">
        <v>90</v>
      </c>
    </row>
    <row r="137" spans="2:27" ht="15.75" customHeight="1" x14ac:dyDescent="0.35">
      <c r="B137" s="22" t="s">
        <v>41</v>
      </c>
      <c r="C137" s="23" t="s">
        <v>198</v>
      </c>
      <c r="D137" s="23" t="s">
        <v>199</v>
      </c>
      <c r="E137" s="23">
        <v>4300037783</v>
      </c>
      <c r="F137" s="23">
        <v>15056773</v>
      </c>
      <c r="G137" s="23" t="s">
        <v>184</v>
      </c>
      <c r="H137" s="23" t="s">
        <v>185</v>
      </c>
      <c r="I137" s="24">
        <v>46154</v>
      </c>
      <c r="J137" s="24">
        <v>46195</v>
      </c>
      <c r="K137" s="22" t="s">
        <v>37</v>
      </c>
      <c r="L137" s="25">
        <v>10</v>
      </c>
      <c r="M137" s="25">
        <v>10</v>
      </c>
      <c r="N137" s="26">
        <f t="shared" si="24"/>
        <v>1</v>
      </c>
      <c r="O137" s="27">
        <v>492.38</v>
      </c>
      <c r="P137" s="28">
        <f t="shared" si="25"/>
        <v>4923.8</v>
      </c>
      <c r="Q137" s="22" t="s">
        <v>67</v>
      </c>
      <c r="R137" s="48" t="s">
        <v>68</v>
      </c>
      <c r="S137" s="30">
        <f t="shared" si="26"/>
        <v>41</v>
      </c>
      <c r="T137" s="30" t="str">
        <f t="shared" si="27"/>
        <v>05/2026</v>
      </c>
      <c r="U137" s="30" t="str">
        <f t="shared" si="28"/>
        <v>07/2026</v>
      </c>
      <c r="V137" s="31">
        <f t="shared" si="29"/>
        <v>0</v>
      </c>
      <c r="W137" s="22" t="s">
        <v>39</v>
      </c>
      <c r="X137" s="32"/>
      <c r="Y137" s="33" t="s">
        <v>492</v>
      </c>
      <c r="Z137" s="32"/>
      <c r="AA137" s="41" t="s">
        <v>90</v>
      </c>
    </row>
    <row r="138" spans="2:27" ht="15.75" customHeight="1" x14ac:dyDescent="0.35">
      <c r="B138" s="11" t="s">
        <v>46</v>
      </c>
      <c r="C138" s="3" t="s">
        <v>198</v>
      </c>
      <c r="D138" s="3" t="s">
        <v>199</v>
      </c>
      <c r="E138" s="3">
        <v>4300037783</v>
      </c>
      <c r="F138" s="3">
        <v>15153017</v>
      </c>
      <c r="G138" s="3" t="s">
        <v>174</v>
      </c>
      <c r="H138" s="3" t="s">
        <v>250</v>
      </c>
      <c r="I138" s="4">
        <v>46154</v>
      </c>
      <c r="J138" s="4">
        <v>46195</v>
      </c>
      <c r="K138" s="11" t="s">
        <v>37</v>
      </c>
      <c r="L138" s="5">
        <v>2</v>
      </c>
      <c r="M138" s="5">
        <v>2</v>
      </c>
      <c r="N138" s="13">
        <f t="shared" si="24"/>
        <v>1</v>
      </c>
      <c r="O138" s="14">
        <v>46.04</v>
      </c>
      <c r="P138" s="15">
        <f t="shared" si="25"/>
        <v>92.08</v>
      </c>
      <c r="Q138" s="11" t="s">
        <v>67</v>
      </c>
      <c r="R138" s="49" t="s">
        <v>68</v>
      </c>
      <c r="S138" s="17">
        <f t="shared" si="26"/>
        <v>41</v>
      </c>
      <c r="T138" s="17" t="str">
        <f t="shared" si="27"/>
        <v>05/2026</v>
      </c>
      <c r="U138" s="17" t="str">
        <f t="shared" si="28"/>
        <v>07/2026</v>
      </c>
      <c r="V138" s="18">
        <f t="shared" si="29"/>
        <v>0</v>
      </c>
      <c r="W138" s="11" t="s">
        <v>39</v>
      </c>
      <c r="X138" s="19"/>
      <c r="Y138" s="20" t="s">
        <v>492</v>
      </c>
      <c r="Z138" s="19"/>
      <c r="AA138" s="40" t="s">
        <v>90</v>
      </c>
    </row>
    <row r="139" spans="2:27" ht="15.75" customHeight="1" x14ac:dyDescent="0.35">
      <c r="B139" s="22"/>
      <c r="C139" s="35" t="s">
        <v>310</v>
      </c>
      <c r="D139" s="23">
        <v>262910597</v>
      </c>
      <c r="E139" s="23">
        <v>4300039614</v>
      </c>
      <c r="F139" s="23">
        <v>13285590</v>
      </c>
      <c r="G139" s="35" t="s">
        <v>311</v>
      </c>
      <c r="H139" s="35" t="s">
        <v>312</v>
      </c>
      <c r="I139" s="24">
        <v>46185</v>
      </c>
      <c r="J139" s="24">
        <v>46225</v>
      </c>
      <c r="K139" s="57" t="s">
        <v>37</v>
      </c>
      <c r="L139" s="25">
        <v>3</v>
      </c>
      <c r="M139" s="25">
        <v>3</v>
      </c>
      <c r="N139" s="26">
        <f t="shared" si="24"/>
        <v>1</v>
      </c>
      <c r="O139" s="27">
        <v>1875.16</v>
      </c>
      <c r="P139" s="28">
        <f t="shared" si="25"/>
        <v>5625.4800000000005</v>
      </c>
      <c r="Q139" s="22" t="s">
        <v>67</v>
      </c>
      <c r="R139" s="48" t="s">
        <v>313</v>
      </c>
      <c r="S139" s="30">
        <f t="shared" si="26"/>
        <v>40</v>
      </c>
      <c r="T139" s="30" t="str">
        <f t="shared" si="27"/>
        <v>06/2026</v>
      </c>
      <c r="U139" s="30" t="str">
        <f t="shared" si="28"/>
        <v>08/2026</v>
      </c>
      <c r="V139" s="31">
        <f t="shared" si="29"/>
        <v>0</v>
      </c>
      <c r="W139" s="22" t="s">
        <v>39</v>
      </c>
      <c r="X139" s="32"/>
      <c r="Y139" s="33" t="s">
        <v>55</v>
      </c>
      <c r="Z139" s="32"/>
      <c r="AA139" s="41"/>
    </row>
    <row r="140" spans="2:27" ht="15.75" customHeight="1" x14ac:dyDescent="0.35">
      <c r="B140" s="11"/>
      <c r="C140" s="12" t="s">
        <v>310</v>
      </c>
      <c r="D140" s="3">
        <v>262910597</v>
      </c>
      <c r="E140" s="3">
        <v>4300039614</v>
      </c>
      <c r="F140" s="3">
        <v>15156745</v>
      </c>
      <c r="G140" s="12" t="s">
        <v>314</v>
      </c>
      <c r="H140" s="12" t="s">
        <v>315</v>
      </c>
      <c r="I140" s="4">
        <v>46185</v>
      </c>
      <c r="J140" s="4">
        <v>46225</v>
      </c>
      <c r="K140" s="58" t="s">
        <v>37</v>
      </c>
      <c r="L140" s="5">
        <v>1</v>
      </c>
      <c r="M140" s="5">
        <v>1</v>
      </c>
      <c r="N140" s="13">
        <f t="shared" si="24"/>
        <v>1</v>
      </c>
      <c r="O140" s="14">
        <v>1909.89</v>
      </c>
      <c r="P140" s="15">
        <f t="shared" si="25"/>
        <v>1909.89</v>
      </c>
      <c r="Q140" s="11" t="s">
        <v>67</v>
      </c>
      <c r="R140" s="49" t="s">
        <v>313</v>
      </c>
      <c r="S140" s="17">
        <f t="shared" si="26"/>
        <v>40</v>
      </c>
      <c r="T140" s="17" t="str">
        <f t="shared" si="27"/>
        <v>06/2026</v>
      </c>
      <c r="U140" s="17" t="str">
        <f t="shared" si="28"/>
        <v>08/2026</v>
      </c>
      <c r="V140" s="18">
        <f t="shared" si="29"/>
        <v>0</v>
      </c>
      <c r="W140" s="11" t="s">
        <v>39</v>
      </c>
      <c r="X140" s="19"/>
      <c r="Y140" s="20" t="s">
        <v>55</v>
      </c>
      <c r="Z140" s="19"/>
      <c r="AA140" s="40"/>
    </row>
    <row r="141" spans="2:27" ht="15.75" customHeight="1" x14ac:dyDescent="0.35">
      <c r="B141" s="22"/>
      <c r="C141" s="35" t="s">
        <v>310</v>
      </c>
      <c r="D141" s="23">
        <v>262910597</v>
      </c>
      <c r="E141" s="23">
        <v>4300039614</v>
      </c>
      <c r="F141" s="23"/>
      <c r="G141" s="35" t="s">
        <v>316</v>
      </c>
      <c r="H141" s="35" t="s">
        <v>317</v>
      </c>
      <c r="I141" s="24">
        <v>46185</v>
      </c>
      <c r="J141" s="24">
        <v>46225</v>
      </c>
      <c r="K141" s="57" t="s">
        <v>37</v>
      </c>
      <c r="L141" s="25">
        <v>4</v>
      </c>
      <c r="M141" s="25">
        <v>4</v>
      </c>
      <c r="N141" s="26">
        <f t="shared" si="24"/>
        <v>1</v>
      </c>
      <c r="O141" s="27">
        <v>26.11</v>
      </c>
      <c r="P141" s="28">
        <f t="shared" si="25"/>
        <v>104.44</v>
      </c>
      <c r="Q141" s="22" t="s">
        <v>67</v>
      </c>
      <c r="R141" s="48" t="s">
        <v>313</v>
      </c>
      <c r="S141" s="30">
        <f t="shared" si="26"/>
        <v>40</v>
      </c>
      <c r="T141" s="30" t="str">
        <f t="shared" si="27"/>
        <v>06/2026</v>
      </c>
      <c r="U141" s="30" t="str">
        <f t="shared" si="28"/>
        <v>08/2026</v>
      </c>
      <c r="V141" s="31">
        <f t="shared" si="29"/>
        <v>0</v>
      </c>
      <c r="W141" s="22" t="s">
        <v>39</v>
      </c>
      <c r="X141" s="32"/>
      <c r="Y141" s="33" t="s">
        <v>55</v>
      </c>
      <c r="Z141" s="32"/>
      <c r="AA141" s="41"/>
    </row>
    <row r="142" spans="2:27" ht="15.75" customHeight="1" x14ac:dyDescent="0.35">
      <c r="B142" s="11"/>
      <c r="C142" s="12" t="s">
        <v>310</v>
      </c>
      <c r="D142" s="3">
        <v>262910597</v>
      </c>
      <c r="E142" s="3">
        <v>4300039614</v>
      </c>
      <c r="F142" s="3"/>
      <c r="G142" s="12" t="s">
        <v>318</v>
      </c>
      <c r="H142" s="12" t="s">
        <v>319</v>
      </c>
      <c r="I142" s="4">
        <v>46185</v>
      </c>
      <c r="J142" s="4"/>
      <c r="K142" s="58" t="s">
        <v>37</v>
      </c>
      <c r="L142" s="5">
        <v>1</v>
      </c>
      <c r="M142" s="5"/>
      <c r="N142" s="13">
        <f t="shared" si="24"/>
        <v>0</v>
      </c>
      <c r="O142" s="14">
        <v>75.010000000000005</v>
      </c>
      <c r="P142" s="15">
        <f t="shared" si="25"/>
        <v>75.010000000000005</v>
      </c>
      <c r="Q142" s="11" t="s">
        <v>67</v>
      </c>
      <c r="R142" s="49" t="s">
        <v>225</v>
      </c>
      <c r="S142" s="17" t="str">
        <f t="shared" si="26"/>
        <v>TBA</v>
      </c>
      <c r="T142" s="17" t="str">
        <f t="shared" si="27"/>
        <v>06/2026</v>
      </c>
      <c r="V142" s="18">
        <f t="shared" si="29"/>
        <v>1</v>
      </c>
      <c r="W142" s="11" t="s">
        <v>39</v>
      </c>
      <c r="X142" s="19"/>
      <c r="Y142" s="20" t="s">
        <v>55</v>
      </c>
      <c r="Z142" s="19"/>
      <c r="AA142" s="40"/>
    </row>
    <row r="143" spans="2:27" ht="15.75" customHeight="1" x14ac:dyDescent="0.35">
      <c r="B143" s="22"/>
      <c r="C143" s="35" t="s">
        <v>310</v>
      </c>
      <c r="D143" s="23">
        <v>262910597</v>
      </c>
      <c r="E143" s="23">
        <v>4300039614</v>
      </c>
      <c r="F143" s="23"/>
      <c r="G143" s="35" t="s">
        <v>320</v>
      </c>
      <c r="H143" s="35" t="s">
        <v>321</v>
      </c>
      <c r="I143" s="24">
        <v>46185</v>
      </c>
      <c r="J143" s="24">
        <v>46225</v>
      </c>
      <c r="K143" s="57" t="s">
        <v>37</v>
      </c>
      <c r="L143" s="25">
        <v>1</v>
      </c>
      <c r="M143" s="25">
        <v>1</v>
      </c>
      <c r="N143" s="26">
        <f t="shared" si="24"/>
        <v>1</v>
      </c>
      <c r="O143" s="27">
        <v>75.010000000000005</v>
      </c>
      <c r="P143" s="28">
        <f t="shared" si="25"/>
        <v>75.010000000000005</v>
      </c>
      <c r="Q143" s="22" t="s">
        <v>67</v>
      </c>
      <c r="R143" s="48" t="s">
        <v>313</v>
      </c>
      <c r="S143" s="30">
        <f t="shared" si="26"/>
        <v>40</v>
      </c>
      <c r="T143" s="30" t="str">
        <f t="shared" si="27"/>
        <v>06/2026</v>
      </c>
      <c r="U143" s="30" t="str">
        <f>IF(Y143="✔","OK",IF(OR(J143="",J143=0),"",TEXT(MONTH(J143+20),"00")&amp;"/"&amp;TEXT(YEAR(J143+20),"0000")))</f>
        <v>08/2026</v>
      </c>
      <c r="V143" s="31">
        <f t="shared" si="29"/>
        <v>0</v>
      </c>
      <c r="W143" s="22" t="s">
        <v>39</v>
      </c>
      <c r="X143" s="32"/>
      <c r="Y143" s="33" t="s">
        <v>55</v>
      </c>
      <c r="Z143" s="32"/>
      <c r="AA143" s="41"/>
    </row>
    <row r="144" spans="2:27" ht="15.75" customHeight="1" x14ac:dyDescent="0.35">
      <c r="B144" s="11"/>
      <c r="C144" s="3"/>
      <c r="D144" s="3">
        <v>262910597</v>
      </c>
      <c r="E144" s="3">
        <v>4300039614</v>
      </c>
      <c r="F144" s="3"/>
      <c r="G144" s="12" t="s">
        <v>322</v>
      </c>
      <c r="H144" s="12" t="s">
        <v>323</v>
      </c>
      <c r="I144" s="4">
        <v>46185</v>
      </c>
      <c r="J144" s="4"/>
      <c r="K144" s="11"/>
      <c r="L144" s="5">
        <v>1</v>
      </c>
      <c r="M144" s="5"/>
      <c r="N144" s="13">
        <f t="shared" si="24"/>
        <v>0</v>
      </c>
      <c r="O144" s="14">
        <v>5823.9</v>
      </c>
      <c r="P144" s="15">
        <f t="shared" si="25"/>
        <v>5823.9</v>
      </c>
      <c r="Q144" s="11" t="s">
        <v>67</v>
      </c>
      <c r="R144" s="49" t="s">
        <v>225</v>
      </c>
      <c r="S144" s="17" t="str">
        <f t="shared" si="26"/>
        <v>TBA</v>
      </c>
      <c r="T144" s="17" t="str">
        <f t="shared" si="27"/>
        <v>06/2026</v>
      </c>
      <c r="V144" s="18">
        <f t="shared" si="29"/>
        <v>1</v>
      </c>
      <c r="W144" s="11" t="s">
        <v>39</v>
      </c>
      <c r="X144" s="19"/>
      <c r="Y144" s="20" t="s">
        <v>55</v>
      </c>
      <c r="Z144" s="19"/>
      <c r="AA144" s="40"/>
    </row>
    <row r="145" spans="2:27" ht="15.75" customHeight="1" x14ac:dyDescent="0.35">
      <c r="B145" s="22"/>
      <c r="C145" s="35" t="s">
        <v>310</v>
      </c>
      <c r="D145" s="23">
        <v>262910597</v>
      </c>
      <c r="E145" s="23">
        <v>4300039614</v>
      </c>
      <c r="F145" s="23"/>
      <c r="G145" s="35" t="s">
        <v>316</v>
      </c>
      <c r="H145" s="35" t="s">
        <v>317</v>
      </c>
      <c r="I145" s="24">
        <v>46185</v>
      </c>
      <c r="J145" s="24">
        <v>46225</v>
      </c>
      <c r="K145" s="57" t="s">
        <v>37</v>
      </c>
      <c r="L145" s="25">
        <v>4</v>
      </c>
      <c r="M145" s="25">
        <v>4</v>
      </c>
      <c r="N145" s="26">
        <f t="shared" si="24"/>
        <v>1</v>
      </c>
      <c r="O145" s="27">
        <v>26.11</v>
      </c>
      <c r="P145" s="28">
        <f t="shared" si="25"/>
        <v>104.44</v>
      </c>
      <c r="Q145" s="22" t="s">
        <v>67</v>
      </c>
      <c r="R145" s="48" t="s">
        <v>313</v>
      </c>
      <c r="S145" s="30">
        <f t="shared" si="26"/>
        <v>40</v>
      </c>
      <c r="T145" s="30" t="str">
        <f t="shared" si="27"/>
        <v>06/2026</v>
      </c>
      <c r="U145" s="30" t="str">
        <f>IF(Y145="✔","OK",IF(OR(J145="",J145=0),"",TEXT(MONTH(J145+20),"00")&amp;"/"&amp;TEXT(YEAR(J145+20),"0000")))</f>
        <v>08/2026</v>
      </c>
      <c r="V145" s="31">
        <f t="shared" si="29"/>
        <v>0</v>
      </c>
      <c r="W145" s="22" t="s">
        <v>39</v>
      </c>
      <c r="X145" s="32"/>
      <c r="Y145" s="33" t="s">
        <v>55</v>
      </c>
      <c r="Z145" s="32"/>
      <c r="AA145" s="41"/>
    </row>
    <row r="146" spans="2:27" ht="15.75" customHeight="1" x14ac:dyDescent="0.35">
      <c r="B146" s="11"/>
      <c r="C146" s="3"/>
      <c r="D146" s="3">
        <v>262910597</v>
      </c>
      <c r="E146" s="3">
        <v>4300039614</v>
      </c>
      <c r="F146" s="3"/>
      <c r="G146" s="12" t="s">
        <v>324</v>
      </c>
      <c r="H146" s="12" t="s">
        <v>325</v>
      </c>
      <c r="I146" s="4">
        <v>46185</v>
      </c>
      <c r="J146" s="4"/>
      <c r="K146" s="11"/>
      <c r="L146" s="5">
        <v>2</v>
      </c>
      <c r="M146" s="5"/>
      <c r="N146" s="13">
        <f t="shared" si="24"/>
        <v>0</v>
      </c>
      <c r="O146" s="14">
        <v>131.38</v>
      </c>
      <c r="P146" s="15">
        <f t="shared" si="25"/>
        <v>262.76</v>
      </c>
      <c r="Q146" s="11" t="s">
        <v>67</v>
      </c>
      <c r="R146" s="49" t="s">
        <v>225</v>
      </c>
      <c r="S146" s="17" t="str">
        <f t="shared" si="26"/>
        <v>TBA</v>
      </c>
      <c r="T146" s="17" t="str">
        <f t="shared" si="27"/>
        <v>06/2026</v>
      </c>
      <c r="V146" s="18">
        <f t="shared" si="29"/>
        <v>2</v>
      </c>
      <c r="W146" s="11" t="s">
        <v>39</v>
      </c>
      <c r="X146" s="19"/>
      <c r="Y146" s="20" t="s">
        <v>55</v>
      </c>
      <c r="Z146" s="19"/>
      <c r="AA146" s="40"/>
    </row>
    <row r="147" spans="2:27" ht="15.75" customHeight="1" x14ac:dyDescent="0.35">
      <c r="B147" s="22"/>
      <c r="C147" s="23"/>
      <c r="D147" s="23">
        <v>262910597</v>
      </c>
      <c r="E147" s="23">
        <v>4300039614</v>
      </c>
      <c r="F147" s="23"/>
      <c r="G147" s="35" t="s">
        <v>326</v>
      </c>
      <c r="H147" s="35" t="s">
        <v>327</v>
      </c>
      <c r="I147" s="24">
        <v>46185</v>
      </c>
      <c r="J147" s="24"/>
      <c r="K147" s="22"/>
      <c r="L147" s="25">
        <v>2</v>
      </c>
      <c r="M147" s="25"/>
      <c r="N147" s="26">
        <f t="shared" si="24"/>
        <v>0</v>
      </c>
      <c r="O147" s="27">
        <v>2618.87</v>
      </c>
      <c r="P147" s="28">
        <f t="shared" si="25"/>
        <v>5237.74</v>
      </c>
      <c r="Q147" s="22" t="s">
        <v>67</v>
      </c>
      <c r="R147" s="48" t="s">
        <v>225</v>
      </c>
      <c r="S147" s="30" t="str">
        <f t="shared" si="26"/>
        <v>TBA</v>
      </c>
      <c r="T147" s="30" t="str">
        <f t="shared" si="27"/>
        <v>06/2026</v>
      </c>
      <c r="V147" s="31">
        <f t="shared" si="29"/>
        <v>2</v>
      </c>
      <c r="W147" s="22" t="s">
        <v>39</v>
      </c>
      <c r="X147" s="32"/>
      <c r="Y147" s="33" t="s">
        <v>55</v>
      </c>
      <c r="Z147" s="32"/>
      <c r="AA147" s="41"/>
    </row>
    <row r="148" spans="2:27" ht="15.75" customHeight="1" x14ac:dyDescent="0.35">
      <c r="B148" s="11"/>
      <c r="C148" s="12" t="s">
        <v>310</v>
      </c>
      <c r="D148" s="3">
        <v>262910597</v>
      </c>
      <c r="E148" s="3">
        <v>4300039614</v>
      </c>
      <c r="F148" s="3"/>
      <c r="G148" s="12" t="s">
        <v>328</v>
      </c>
      <c r="H148" s="12" t="s">
        <v>329</v>
      </c>
      <c r="I148" s="4">
        <v>46185</v>
      </c>
      <c r="J148" s="4">
        <v>46225</v>
      </c>
      <c r="K148" s="58" t="s">
        <v>37</v>
      </c>
      <c r="L148" s="5">
        <v>2</v>
      </c>
      <c r="M148" s="5">
        <v>2</v>
      </c>
      <c r="N148" s="13">
        <f t="shared" si="24"/>
        <v>1</v>
      </c>
      <c r="O148" s="14">
        <v>20.8</v>
      </c>
      <c r="P148" s="15">
        <f t="shared" si="25"/>
        <v>41.6</v>
      </c>
      <c r="Q148" s="11" t="s">
        <v>67</v>
      </c>
      <c r="R148" s="49" t="s">
        <v>313</v>
      </c>
      <c r="S148" s="17">
        <f t="shared" si="26"/>
        <v>40</v>
      </c>
      <c r="T148" s="17" t="str">
        <f t="shared" si="27"/>
        <v>06/2026</v>
      </c>
      <c r="U148" s="17" t="str">
        <f t="shared" ref="U148:U154" si="30">IF(Y148="✔","OK",IF(OR(J148="",J148=0),"",TEXT(MONTH(J148+20),"00")&amp;"/"&amp;TEXT(YEAR(J148+20),"0000")))</f>
        <v>08/2026</v>
      </c>
      <c r="V148" s="18">
        <f t="shared" si="29"/>
        <v>0</v>
      </c>
      <c r="W148" s="11" t="s">
        <v>39</v>
      </c>
      <c r="X148" s="19"/>
      <c r="Y148" s="20" t="s">
        <v>55</v>
      </c>
      <c r="Z148" s="19"/>
      <c r="AA148" s="40"/>
    </row>
    <row r="149" spans="2:27" ht="15.75" customHeight="1" x14ac:dyDescent="0.35">
      <c r="B149" s="22"/>
      <c r="C149" s="35" t="s">
        <v>310</v>
      </c>
      <c r="D149" s="23">
        <v>262910597</v>
      </c>
      <c r="E149" s="23">
        <v>4300039614</v>
      </c>
      <c r="F149" s="23"/>
      <c r="G149" s="35" t="s">
        <v>330</v>
      </c>
      <c r="H149" s="35" t="s">
        <v>331</v>
      </c>
      <c r="I149" s="24">
        <v>46185</v>
      </c>
      <c r="J149" s="24">
        <v>46225</v>
      </c>
      <c r="K149" s="57" t="s">
        <v>37</v>
      </c>
      <c r="L149" s="25">
        <v>2</v>
      </c>
      <c r="M149" s="25">
        <v>2</v>
      </c>
      <c r="N149" s="26">
        <f t="shared" si="24"/>
        <v>1</v>
      </c>
      <c r="O149" s="27">
        <v>3.57</v>
      </c>
      <c r="P149" s="28">
        <f t="shared" si="25"/>
        <v>7.14</v>
      </c>
      <c r="Q149" s="22" t="s">
        <v>67</v>
      </c>
      <c r="R149" s="48" t="s">
        <v>313</v>
      </c>
      <c r="S149" s="30">
        <f t="shared" si="26"/>
        <v>40</v>
      </c>
      <c r="T149" s="30" t="str">
        <f t="shared" si="27"/>
        <v>06/2026</v>
      </c>
      <c r="U149" s="30" t="str">
        <f t="shared" si="30"/>
        <v>08/2026</v>
      </c>
      <c r="V149" s="31">
        <f t="shared" si="29"/>
        <v>0</v>
      </c>
      <c r="W149" s="22" t="s">
        <v>39</v>
      </c>
      <c r="X149" s="32"/>
      <c r="Y149" s="33" t="s">
        <v>55</v>
      </c>
      <c r="Z149" s="32"/>
      <c r="AA149" s="41"/>
    </row>
    <row r="150" spans="2:27" ht="15.75" customHeight="1" x14ac:dyDescent="0.35">
      <c r="B150" s="11"/>
      <c r="C150" s="12" t="s">
        <v>310</v>
      </c>
      <c r="D150" s="3">
        <v>262910597</v>
      </c>
      <c r="E150" s="3">
        <v>4300039614</v>
      </c>
      <c r="F150" s="3"/>
      <c r="G150" s="12" t="s">
        <v>332</v>
      </c>
      <c r="H150" s="12" t="s">
        <v>333</v>
      </c>
      <c r="I150" s="4">
        <v>46185</v>
      </c>
      <c r="J150" s="4">
        <v>46225</v>
      </c>
      <c r="K150" s="58" t="s">
        <v>37</v>
      </c>
      <c r="L150" s="5">
        <v>10</v>
      </c>
      <c r="M150" s="5">
        <v>10</v>
      </c>
      <c r="N150" s="13">
        <f t="shared" si="24"/>
        <v>1</v>
      </c>
      <c r="O150" s="14">
        <v>7.61</v>
      </c>
      <c r="P150" s="15">
        <f t="shared" si="25"/>
        <v>76.100000000000009</v>
      </c>
      <c r="Q150" s="11" t="s">
        <v>67</v>
      </c>
      <c r="R150" s="49" t="s">
        <v>313</v>
      </c>
      <c r="S150" s="17">
        <f t="shared" si="26"/>
        <v>40</v>
      </c>
      <c r="T150" s="17" t="str">
        <f t="shared" si="27"/>
        <v>06/2026</v>
      </c>
      <c r="U150" s="17" t="str">
        <f t="shared" si="30"/>
        <v>08/2026</v>
      </c>
      <c r="V150" s="18">
        <f t="shared" si="29"/>
        <v>0</v>
      </c>
      <c r="W150" s="11" t="s">
        <v>39</v>
      </c>
      <c r="X150" s="19"/>
      <c r="Y150" s="20" t="s">
        <v>55</v>
      </c>
      <c r="Z150" s="19"/>
      <c r="AA150" s="40"/>
    </row>
    <row r="151" spans="2:27" ht="15.75" customHeight="1" x14ac:dyDescent="0.35">
      <c r="B151" s="22"/>
      <c r="C151" s="35" t="s">
        <v>310</v>
      </c>
      <c r="D151" s="23">
        <v>262910597</v>
      </c>
      <c r="E151" s="23">
        <v>4300039614</v>
      </c>
      <c r="F151" s="23"/>
      <c r="G151" s="23" t="s">
        <v>334</v>
      </c>
      <c r="H151" s="35" t="s">
        <v>335</v>
      </c>
      <c r="I151" s="24">
        <v>46185</v>
      </c>
      <c r="J151" s="24">
        <v>46225</v>
      </c>
      <c r="K151" s="57" t="s">
        <v>37</v>
      </c>
      <c r="L151" s="25">
        <v>2</v>
      </c>
      <c r="M151" s="25">
        <v>2</v>
      </c>
      <c r="N151" s="26">
        <f t="shared" si="24"/>
        <v>1</v>
      </c>
      <c r="O151" s="27">
        <v>6.72</v>
      </c>
      <c r="P151" s="28">
        <f t="shared" si="25"/>
        <v>13.44</v>
      </c>
      <c r="Q151" s="22" t="s">
        <v>67</v>
      </c>
      <c r="R151" s="48" t="s">
        <v>313</v>
      </c>
      <c r="S151" s="30">
        <f t="shared" si="26"/>
        <v>40</v>
      </c>
      <c r="T151" s="30" t="str">
        <f t="shared" si="27"/>
        <v>06/2026</v>
      </c>
      <c r="U151" s="30" t="str">
        <f t="shared" si="30"/>
        <v>08/2026</v>
      </c>
      <c r="V151" s="31">
        <f t="shared" si="29"/>
        <v>0</v>
      </c>
      <c r="W151" s="22" t="s">
        <v>39</v>
      </c>
      <c r="X151" s="32"/>
      <c r="Y151" s="33" t="s">
        <v>55</v>
      </c>
      <c r="Z151" s="32"/>
      <c r="AA151" s="41"/>
    </row>
    <row r="152" spans="2:27" ht="15.75" customHeight="1" x14ac:dyDescent="0.35">
      <c r="B152" s="11"/>
      <c r="C152" s="12" t="s">
        <v>310</v>
      </c>
      <c r="D152" s="3">
        <v>262910597</v>
      </c>
      <c r="E152" s="3">
        <v>4300039614</v>
      </c>
      <c r="F152" s="3">
        <v>15506080</v>
      </c>
      <c r="G152" s="12" t="s">
        <v>336</v>
      </c>
      <c r="H152" s="12" t="s">
        <v>337</v>
      </c>
      <c r="I152" s="4">
        <v>46185</v>
      </c>
      <c r="J152" s="4">
        <v>46225</v>
      </c>
      <c r="K152" s="58" t="s">
        <v>37</v>
      </c>
      <c r="L152" s="5">
        <v>11</v>
      </c>
      <c r="M152" s="5">
        <v>11</v>
      </c>
      <c r="N152" s="13">
        <f t="shared" si="24"/>
        <v>1</v>
      </c>
      <c r="O152" s="14">
        <v>627.61</v>
      </c>
      <c r="P152" s="15">
        <f t="shared" si="25"/>
        <v>6903.71</v>
      </c>
      <c r="Q152" s="11" t="s">
        <v>67</v>
      </c>
      <c r="R152" s="49" t="s">
        <v>225</v>
      </c>
      <c r="S152" s="17">
        <f t="shared" si="26"/>
        <v>40</v>
      </c>
      <c r="T152" s="17" t="str">
        <f t="shared" si="27"/>
        <v>06/2026</v>
      </c>
      <c r="U152" s="17" t="str">
        <f t="shared" si="30"/>
        <v>08/2026</v>
      </c>
      <c r="V152" s="18">
        <f t="shared" si="29"/>
        <v>0</v>
      </c>
      <c r="W152" s="11" t="s">
        <v>39</v>
      </c>
      <c r="X152" s="19"/>
      <c r="Y152" s="20" t="s">
        <v>55</v>
      </c>
      <c r="Z152" s="19"/>
      <c r="AA152" s="21"/>
    </row>
    <row r="153" spans="2:27" ht="15.75" customHeight="1" x14ac:dyDescent="0.35">
      <c r="B153" s="22"/>
      <c r="C153" s="35" t="s">
        <v>310</v>
      </c>
      <c r="D153" s="23">
        <v>262910597</v>
      </c>
      <c r="E153" s="23">
        <v>4300039614</v>
      </c>
      <c r="F153" s="23"/>
      <c r="G153" s="35" t="s">
        <v>338</v>
      </c>
      <c r="H153" s="35" t="s">
        <v>339</v>
      </c>
      <c r="I153" s="24">
        <v>46185</v>
      </c>
      <c r="J153" s="24">
        <v>46225</v>
      </c>
      <c r="K153" s="57" t="s">
        <v>37</v>
      </c>
      <c r="L153" s="25">
        <v>2</v>
      </c>
      <c r="M153" s="25">
        <v>2</v>
      </c>
      <c r="N153" s="26">
        <f t="shared" si="24"/>
        <v>1</v>
      </c>
      <c r="O153" s="27">
        <v>85.56</v>
      </c>
      <c r="P153" s="28">
        <f t="shared" si="25"/>
        <v>171.12</v>
      </c>
      <c r="Q153" s="22" t="s">
        <v>67</v>
      </c>
      <c r="R153" s="48" t="s">
        <v>313</v>
      </c>
      <c r="S153" s="30">
        <f t="shared" si="26"/>
        <v>40</v>
      </c>
      <c r="T153" s="30" t="str">
        <f t="shared" si="27"/>
        <v>06/2026</v>
      </c>
      <c r="U153" s="30" t="str">
        <f t="shared" si="30"/>
        <v>08/2026</v>
      </c>
      <c r="V153" s="31">
        <f t="shared" si="29"/>
        <v>0</v>
      </c>
      <c r="W153" s="22" t="s">
        <v>39</v>
      </c>
      <c r="X153" s="32"/>
      <c r="Y153" s="33" t="s">
        <v>55</v>
      </c>
      <c r="Z153" s="32"/>
      <c r="AA153" s="34"/>
    </row>
    <row r="154" spans="2:27" ht="15.75" customHeight="1" x14ac:dyDescent="0.35">
      <c r="B154" s="11"/>
      <c r="C154" s="12" t="s">
        <v>310</v>
      </c>
      <c r="D154" s="3">
        <v>262910597</v>
      </c>
      <c r="E154" s="3">
        <v>4300039614</v>
      </c>
      <c r="F154" s="3">
        <v>13285590</v>
      </c>
      <c r="G154" s="12" t="s">
        <v>340</v>
      </c>
      <c r="H154" s="12" t="s">
        <v>312</v>
      </c>
      <c r="I154" s="4">
        <v>46185</v>
      </c>
      <c r="J154" s="4">
        <v>46225</v>
      </c>
      <c r="K154" s="58" t="s">
        <v>37</v>
      </c>
      <c r="L154" s="5">
        <v>5</v>
      </c>
      <c r="M154" s="5">
        <v>5</v>
      </c>
      <c r="N154" s="13">
        <f t="shared" si="24"/>
        <v>1</v>
      </c>
      <c r="O154" s="14">
        <v>1875.16</v>
      </c>
      <c r="P154" s="15">
        <f t="shared" si="25"/>
        <v>9375.8000000000011</v>
      </c>
      <c r="Q154" s="11" t="s">
        <v>67</v>
      </c>
      <c r="R154" s="49" t="s">
        <v>225</v>
      </c>
      <c r="S154" s="17">
        <f t="shared" si="26"/>
        <v>40</v>
      </c>
      <c r="T154" s="17" t="str">
        <f t="shared" si="27"/>
        <v>06/2026</v>
      </c>
      <c r="U154" s="17" t="str">
        <f t="shared" si="30"/>
        <v>08/2026</v>
      </c>
      <c r="V154" s="18">
        <f t="shared" si="29"/>
        <v>0</v>
      </c>
      <c r="W154" s="11" t="s">
        <v>39</v>
      </c>
      <c r="X154" s="19"/>
      <c r="Y154" s="20" t="s">
        <v>55</v>
      </c>
      <c r="Z154" s="19"/>
      <c r="AA154" s="21"/>
    </row>
    <row r="155" spans="2:27" ht="15.75" customHeight="1" x14ac:dyDescent="0.35">
      <c r="B155" s="22"/>
      <c r="C155" s="23"/>
      <c r="D155" s="23">
        <v>262910597</v>
      </c>
      <c r="E155" s="23">
        <v>4300039614</v>
      </c>
      <c r="F155" s="23"/>
      <c r="G155" s="35" t="s">
        <v>341</v>
      </c>
      <c r="H155" s="35" t="s">
        <v>342</v>
      </c>
      <c r="I155" s="24">
        <v>46185</v>
      </c>
      <c r="J155" s="24"/>
      <c r="K155" s="22"/>
      <c r="L155" s="25">
        <v>10</v>
      </c>
      <c r="M155" s="25"/>
      <c r="N155" s="26">
        <f t="shared" si="24"/>
        <v>0</v>
      </c>
      <c r="O155" s="27">
        <v>76.27</v>
      </c>
      <c r="P155" s="28">
        <f t="shared" si="25"/>
        <v>762.69999999999993</v>
      </c>
      <c r="Q155" s="22" t="s">
        <v>67</v>
      </c>
      <c r="R155" s="48" t="s">
        <v>225</v>
      </c>
      <c r="S155" s="30" t="str">
        <f t="shared" si="26"/>
        <v>TBA</v>
      </c>
      <c r="T155" s="30" t="str">
        <f t="shared" si="27"/>
        <v>06/2026</v>
      </c>
      <c r="V155" s="31">
        <f t="shared" si="29"/>
        <v>10</v>
      </c>
      <c r="W155" s="22" t="s">
        <v>39</v>
      </c>
      <c r="X155" s="32"/>
      <c r="Y155" s="33" t="s">
        <v>55</v>
      </c>
      <c r="Z155" s="32"/>
      <c r="AA155" s="41"/>
    </row>
    <row r="156" spans="2:27" ht="15.75" customHeight="1" x14ac:dyDescent="0.35">
      <c r="B156" s="11"/>
      <c r="C156" s="12" t="s">
        <v>310</v>
      </c>
      <c r="D156" s="3">
        <v>262910597</v>
      </c>
      <c r="E156" s="3">
        <v>4300039614</v>
      </c>
      <c r="F156" s="3"/>
      <c r="G156" s="12" t="s">
        <v>343</v>
      </c>
      <c r="H156" s="12" t="s">
        <v>344</v>
      </c>
      <c r="I156" s="4">
        <v>46185</v>
      </c>
      <c r="J156" s="4"/>
      <c r="K156" s="58" t="s">
        <v>37</v>
      </c>
      <c r="L156" s="5">
        <v>10</v>
      </c>
      <c r="M156" s="5"/>
      <c r="N156" s="13">
        <f t="shared" si="24"/>
        <v>0</v>
      </c>
      <c r="O156" s="14">
        <v>107.1</v>
      </c>
      <c r="P156" s="15">
        <f t="shared" si="25"/>
        <v>1071</v>
      </c>
      <c r="Q156" s="11" t="s">
        <v>67</v>
      </c>
      <c r="R156" s="49" t="s">
        <v>225</v>
      </c>
      <c r="S156" s="17" t="str">
        <f t="shared" si="26"/>
        <v>TBA</v>
      </c>
      <c r="T156" s="17" t="str">
        <f t="shared" si="27"/>
        <v>06/2026</v>
      </c>
      <c r="V156" s="18">
        <f t="shared" si="29"/>
        <v>10</v>
      </c>
      <c r="W156" s="11" t="s">
        <v>39</v>
      </c>
      <c r="X156" s="19"/>
      <c r="Y156" s="20" t="s">
        <v>55</v>
      </c>
      <c r="Z156" s="19"/>
      <c r="AA156" s="40"/>
    </row>
    <row r="157" spans="2:27" ht="15.75" customHeight="1" x14ac:dyDescent="0.35">
      <c r="B157" s="22"/>
      <c r="C157" s="23"/>
      <c r="D157" s="23">
        <v>262910597</v>
      </c>
      <c r="E157" s="23">
        <v>4300039614</v>
      </c>
      <c r="F157" s="23"/>
      <c r="G157" s="23" t="s">
        <v>324</v>
      </c>
      <c r="H157" s="35" t="s">
        <v>325</v>
      </c>
      <c r="I157" s="24">
        <v>46185</v>
      </c>
      <c r="J157" s="24"/>
      <c r="K157" s="22"/>
      <c r="L157" s="25">
        <v>2</v>
      </c>
      <c r="M157" s="25"/>
      <c r="N157" s="26">
        <f t="shared" si="24"/>
        <v>0</v>
      </c>
      <c r="O157" s="27">
        <v>131.38</v>
      </c>
      <c r="P157" s="28">
        <f t="shared" si="25"/>
        <v>262.76</v>
      </c>
      <c r="Q157" s="22" t="s">
        <v>67</v>
      </c>
      <c r="R157" s="48" t="s">
        <v>225</v>
      </c>
      <c r="S157" s="30" t="str">
        <f t="shared" si="26"/>
        <v>TBA</v>
      </c>
      <c r="T157" s="30" t="str">
        <f t="shared" si="27"/>
        <v>06/2026</v>
      </c>
      <c r="V157" s="31">
        <f t="shared" si="29"/>
        <v>2</v>
      </c>
      <c r="W157" s="22" t="s">
        <v>39</v>
      </c>
      <c r="X157" s="32"/>
      <c r="Y157" s="33" t="s">
        <v>55</v>
      </c>
      <c r="Z157" s="32"/>
      <c r="AA157" s="41"/>
    </row>
    <row r="158" spans="2:27" ht="15.75" customHeight="1" x14ac:dyDescent="0.35">
      <c r="B158" s="11"/>
      <c r="C158" s="12"/>
      <c r="D158" s="3"/>
      <c r="E158" s="3">
        <v>4300038757</v>
      </c>
      <c r="F158" s="3">
        <v>13188470</v>
      </c>
      <c r="G158" s="12"/>
      <c r="H158" s="12" t="s">
        <v>66</v>
      </c>
      <c r="I158" s="4">
        <v>46158</v>
      </c>
      <c r="J158" s="4"/>
      <c r="K158" s="58"/>
      <c r="L158" s="5">
        <v>1</v>
      </c>
      <c r="M158" s="5"/>
      <c r="N158" s="13">
        <f t="shared" si="24"/>
        <v>0</v>
      </c>
      <c r="O158" s="14">
        <v>2012.81</v>
      </c>
      <c r="P158" s="15">
        <f t="shared" si="25"/>
        <v>2012.81</v>
      </c>
      <c r="Q158" s="11" t="s">
        <v>67</v>
      </c>
      <c r="R158" s="49" t="s">
        <v>225</v>
      </c>
      <c r="S158" s="17" t="str">
        <f t="shared" si="26"/>
        <v>TBA</v>
      </c>
      <c r="T158" s="17" t="str">
        <f t="shared" si="27"/>
        <v>05/2026</v>
      </c>
      <c r="V158" s="18">
        <f t="shared" si="29"/>
        <v>1</v>
      </c>
      <c r="W158" s="11" t="s">
        <v>39</v>
      </c>
      <c r="X158" s="19"/>
      <c r="Y158" s="20" t="s">
        <v>55</v>
      </c>
      <c r="Z158" s="19"/>
      <c r="AA158" s="40"/>
    </row>
    <row r="159" spans="2:27" ht="15.75" customHeight="1" x14ac:dyDescent="0.35">
      <c r="B159" s="22"/>
      <c r="C159" s="35"/>
      <c r="D159" s="23"/>
      <c r="E159" s="23">
        <v>4300038757</v>
      </c>
      <c r="F159" s="23">
        <v>16177612</v>
      </c>
      <c r="G159" s="35"/>
      <c r="H159" s="35" t="s">
        <v>194</v>
      </c>
      <c r="I159" s="24">
        <v>46158</v>
      </c>
      <c r="J159" s="24"/>
      <c r="K159" s="57"/>
      <c r="L159" s="25">
        <v>12</v>
      </c>
      <c r="M159" s="25"/>
      <c r="N159" s="26">
        <f t="shared" si="24"/>
        <v>0</v>
      </c>
      <c r="O159" s="27">
        <v>157.26</v>
      </c>
      <c r="P159" s="28">
        <f t="shared" si="25"/>
        <v>1887.12</v>
      </c>
      <c r="Q159" s="22" t="s">
        <v>67</v>
      </c>
      <c r="R159" s="48" t="s">
        <v>225</v>
      </c>
      <c r="S159" s="30" t="str">
        <f t="shared" si="26"/>
        <v>TBA</v>
      </c>
      <c r="T159" s="30" t="str">
        <f t="shared" si="27"/>
        <v>05/2026</v>
      </c>
      <c r="V159" s="31">
        <f t="shared" si="29"/>
        <v>12</v>
      </c>
      <c r="W159" s="22" t="s">
        <v>39</v>
      </c>
      <c r="X159" s="32"/>
      <c r="Y159" s="33" t="s">
        <v>55</v>
      </c>
      <c r="Z159" s="32"/>
      <c r="AA159" s="41"/>
    </row>
    <row r="160" spans="2:27" ht="15.75" customHeight="1" x14ac:dyDescent="0.35">
      <c r="B160" s="11"/>
      <c r="C160" s="12"/>
      <c r="D160" s="3"/>
      <c r="E160" s="3">
        <v>4300038757</v>
      </c>
      <c r="F160" s="3">
        <v>16177612</v>
      </c>
      <c r="G160" s="12"/>
      <c r="H160" s="12" t="s">
        <v>194</v>
      </c>
      <c r="I160" s="4">
        <v>46158</v>
      </c>
      <c r="J160" s="4"/>
      <c r="K160" s="58"/>
      <c r="L160" s="5">
        <v>4</v>
      </c>
      <c r="M160" s="5"/>
      <c r="N160" s="13">
        <f t="shared" si="24"/>
        <v>0</v>
      </c>
      <c r="O160" s="14">
        <v>157.26</v>
      </c>
      <c r="P160" s="15">
        <f t="shared" si="25"/>
        <v>629.04</v>
      </c>
      <c r="Q160" s="11" t="s">
        <v>67</v>
      </c>
      <c r="R160" s="49" t="s">
        <v>225</v>
      </c>
      <c r="S160" s="17" t="str">
        <f t="shared" si="26"/>
        <v>TBA</v>
      </c>
      <c r="T160" s="17" t="str">
        <f t="shared" si="27"/>
        <v>05/2026</v>
      </c>
      <c r="V160" s="18">
        <f t="shared" si="29"/>
        <v>4</v>
      </c>
      <c r="W160" s="11" t="s">
        <v>39</v>
      </c>
      <c r="X160" s="19"/>
      <c r="Y160" s="20" t="s">
        <v>55</v>
      </c>
      <c r="Z160" s="19"/>
      <c r="AA160" s="40"/>
    </row>
    <row r="161" spans="2:27" ht="15.75" customHeight="1" x14ac:dyDescent="0.35">
      <c r="B161" s="22"/>
      <c r="C161" s="35"/>
      <c r="D161" s="23"/>
      <c r="E161" s="23">
        <v>4300038757</v>
      </c>
      <c r="F161" s="23">
        <v>16177612</v>
      </c>
      <c r="G161" s="23"/>
      <c r="H161" s="35" t="s">
        <v>194</v>
      </c>
      <c r="I161" s="24">
        <v>46158</v>
      </c>
      <c r="J161" s="24"/>
      <c r="K161" s="57"/>
      <c r="L161" s="25">
        <v>16</v>
      </c>
      <c r="M161" s="25"/>
      <c r="N161" s="26">
        <f t="shared" si="24"/>
        <v>0</v>
      </c>
      <c r="O161" s="27">
        <v>157.26</v>
      </c>
      <c r="P161" s="28">
        <f t="shared" si="25"/>
        <v>2516.16</v>
      </c>
      <c r="Q161" s="22" t="s">
        <v>67</v>
      </c>
      <c r="R161" s="48" t="s">
        <v>225</v>
      </c>
      <c r="S161" s="30" t="str">
        <f t="shared" si="26"/>
        <v>TBA</v>
      </c>
      <c r="T161" s="30" t="str">
        <f t="shared" si="27"/>
        <v>05/2026</v>
      </c>
      <c r="V161" s="31">
        <f t="shared" si="29"/>
        <v>16</v>
      </c>
      <c r="W161" s="22" t="s">
        <v>39</v>
      </c>
      <c r="X161" s="32"/>
      <c r="Y161" s="33" t="s">
        <v>55</v>
      </c>
      <c r="Z161" s="32"/>
      <c r="AA161" s="41"/>
    </row>
    <row r="162" spans="2:27" ht="15.75" customHeight="1" x14ac:dyDescent="0.35">
      <c r="B162" s="11"/>
      <c r="C162" s="12"/>
      <c r="D162" s="3"/>
      <c r="E162" s="3">
        <v>4300038757</v>
      </c>
      <c r="F162" s="3">
        <v>13040555</v>
      </c>
      <c r="G162" s="12"/>
      <c r="H162" s="12" t="s">
        <v>83</v>
      </c>
      <c r="I162" s="4">
        <v>46158</v>
      </c>
      <c r="J162" s="4"/>
      <c r="K162" s="58"/>
      <c r="L162" s="5">
        <v>2</v>
      </c>
      <c r="M162" s="5"/>
      <c r="N162" s="13">
        <f t="shared" si="24"/>
        <v>0</v>
      </c>
      <c r="O162" s="14">
        <v>5933.52</v>
      </c>
      <c r="P162" s="15">
        <f t="shared" si="25"/>
        <v>11867.04</v>
      </c>
      <c r="Q162" s="11" t="s">
        <v>67</v>
      </c>
      <c r="R162" s="49" t="s">
        <v>225</v>
      </c>
      <c r="S162" s="17" t="str">
        <f t="shared" si="26"/>
        <v>TBA</v>
      </c>
      <c r="T162" s="17" t="str">
        <f t="shared" si="27"/>
        <v>05/2026</v>
      </c>
      <c r="V162" s="18">
        <f t="shared" si="29"/>
        <v>2</v>
      </c>
      <c r="W162" s="11" t="s">
        <v>39</v>
      </c>
      <c r="X162" s="19"/>
      <c r="Y162" s="20" t="s">
        <v>55</v>
      </c>
      <c r="Z162" s="19"/>
      <c r="AA162" s="21"/>
    </row>
    <row r="163" spans="2:27" ht="15.75" customHeight="1" x14ac:dyDescent="0.35">
      <c r="B163" s="22"/>
      <c r="C163" s="35"/>
      <c r="D163" s="23"/>
      <c r="E163" s="23">
        <v>4300038757</v>
      </c>
      <c r="F163" s="23">
        <v>13040555</v>
      </c>
      <c r="G163" s="35"/>
      <c r="H163" s="35" t="s">
        <v>83</v>
      </c>
      <c r="I163" s="24">
        <v>46158</v>
      </c>
      <c r="J163" s="24"/>
      <c r="K163" s="57"/>
      <c r="L163" s="25">
        <v>5</v>
      </c>
      <c r="M163" s="25"/>
      <c r="N163" s="26">
        <f t="shared" si="24"/>
        <v>0</v>
      </c>
      <c r="O163" s="27">
        <v>5933.52</v>
      </c>
      <c r="P163" s="28">
        <f t="shared" si="25"/>
        <v>29667.600000000002</v>
      </c>
      <c r="Q163" s="22" t="s">
        <v>67</v>
      </c>
      <c r="R163" s="48" t="s">
        <v>225</v>
      </c>
      <c r="S163" s="30" t="str">
        <f t="shared" si="26"/>
        <v>TBA</v>
      </c>
      <c r="T163" s="30" t="str">
        <f t="shared" si="27"/>
        <v>05/2026</v>
      </c>
      <c r="V163" s="31">
        <f t="shared" si="29"/>
        <v>5</v>
      </c>
      <c r="W163" s="22" t="s">
        <v>39</v>
      </c>
      <c r="X163" s="32"/>
      <c r="Y163" s="33" t="s">
        <v>55</v>
      </c>
      <c r="Z163" s="32"/>
      <c r="AA163" s="34"/>
    </row>
    <row r="164" spans="2:27" ht="15.75" customHeight="1" x14ac:dyDescent="0.35">
      <c r="B164" s="11"/>
      <c r="C164" s="12"/>
      <c r="D164" s="3"/>
      <c r="E164" s="3">
        <v>4300038757</v>
      </c>
      <c r="F164" s="3">
        <v>16177612</v>
      </c>
      <c r="G164" s="12"/>
      <c r="H164" s="12" t="s">
        <v>194</v>
      </c>
      <c r="I164" s="4">
        <v>46158</v>
      </c>
      <c r="J164" s="4"/>
      <c r="K164" s="58"/>
      <c r="L164" s="5">
        <v>16</v>
      </c>
      <c r="M164" s="5"/>
      <c r="N164" s="13">
        <f t="shared" ref="N164:N175" si="31">IF(L164=0,0,M164/L164)</f>
        <v>0</v>
      </c>
      <c r="O164" s="14">
        <v>157.26</v>
      </c>
      <c r="P164" s="15">
        <f t="shared" ref="P164:P175" si="32">L164*O164</f>
        <v>2516.16</v>
      </c>
      <c r="Q164" s="11" t="s">
        <v>67</v>
      </c>
      <c r="R164" s="49" t="s">
        <v>225</v>
      </c>
      <c r="S164" s="17" t="str">
        <f t="shared" ref="S164:S175" si="33">IF(Y164="✔","✔ OK",IF(OR(J164="",J164=0),"TBA",INT(J164-I164)))</f>
        <v>TBA</v>
      </c>
      <c r="T164" s="17" t="str">
        <f t="shared" ref="T164:T175" si="34">IF(I164="","",TEXT(MONTH(I164),"00")&amp;"/"&amp;YEAR(I164))</f>
        <v>05/2026</v>
      </c>
      <c r="V164" s="18">
        <f t="shared" ref="V164:V175" si="35">L164-M164</f>
        <v>16</v>
      </c>
      <c r="W164" s="11" t="s">
        <v>39</v>
      </c>
      <c r="X164" s="19"/>
      <c r="Y164" s="20" t="s">
        <v>55</v>
      </c>
      <c r="Z164" s="19"/>
      <c r="AA164" s="21"/>
    </row>
    <row r="165" spans="2:27" ht="15.75" customHeight="1" x14ac:dyDescent="0.35">
      <c r="B165" s="22"/>
      <c r="C165" s="23"/>
      <c r="D165" s="23"/>
      <c r="E165" s="23">
        <v>4300038757</v>
      </c>
      <c r="F165" s="23">
        <v>15055680</v>
      </c>
      <c r="G165" s="35"/>
      <c r="H165" s="35" t="s">
        <v>211</v>
      </c>
      <c r="I165" s="24">
        <v>46158</v>
      </c>
      <c r="J165" s="24"/>
      <c r="K165" s="22"/>
      <c r="L165" s="25">
        <v>4</v>
      </c>
      <c r="M165" s="25"/>
      <c r="N165" s="26">
        <f t="shared" si="31"/>
        <v>0</v>
      </c>
      <c r="O165" s="27">
        <v>416.4</v>
      </c>
      <c r="P165" s="28">
        <f t="shared" si="32"/>
        <v>1665.6</v>
      </c>
      <c r="Q165" s="22" t="s">
        <v>67</v>
      </c>
      <c r="R165" s="48" t="s">
        <v>225</v>
      </c>
      <c r="S165" s="30" t="str">
        <f t="shared" si="33"/>
        <v>TBA</v>
      </c>
      <c r="T165" s="30" t="str">
        <f t="shared" si="34"/>
        <v>05/2026</v>
      </c>
      <c r="V165" s="31">
        <f t="shared" si="35"/>
        <v>4</v>
      </c>
      <c r="W165" s="22" t="s">
        <v>39</v>
      </c>
      <c r="X165" s="32"/>
      <c r="Y165" s="33" t="s">
        <v>55</v>
      </c>
      <c r="Z165" s="32"/>
      <c r="AA165" s="41"/>
    </row>
    <row r="166" spans="2:27" ht="15.75" customHeight="1" x14ac:dyDescent="0.35">
      <c r="B166" s="11"/>
      <c r="C166" s="12"/>
      <c r="D166" s="3"/>
      <c r="E166" s="3">
        <v>4300038757</v>
      </c>
      <c r="F166" s="3">
        <v>13188470</v>
      </c>
      <c r="G166" s="12"/>
      <c r="H166" s="12" t="s">
        <v>66</v>
      </c>
      <c r="I166" s="4">
        <v>46158</v>
      </c>
      <c r="J166" s="4"/>
      <c r="K166" s="58"/>
      <c r="L166" s="5">
        <v>1</v>
      </c>
      <c r="M166" s="5"/>
      <c r="N166" s="13">
        <f t="shared" si="31"/>
        <v>0</v>
      </c>
      <c r="O166" s="14">
        <v>2012.81</v>
      </c>
      <c r="P166" s="15">
        <f t="shared" si="32"/>
        <v>2012.81</v>
      </c>
      <c r="Q166" s="11" t="s">
        <v>67</v>
      </c>
      <c r="R166" s="49" t="s">
        <v>225</v>
      </c>
      <c r="S166" s="17" t="str">
        <f t="shared" si="33"/>
        <v>TBA</v>
      </c>
      <c r="T166" s="17" t="str">
        <f t="shared" si="34"/>
        <v>05/2026</v>
      </c>
      <c r="V166" s="18">
        <f t="shared" si="35"/>
        <v>1</v>
      </c>
      <c r="W166" s="11" t="s">
        <v>39</v>
      </c>
      <c r="X166" s="19"/>
      <c r="Y166" s="20" t="s">
        <v>55</v>
      </c>
      <c r="Z166" s="19"/>
      <c r="AA166" s="40"/>
    </row>
    <row r="167" spans="2:27" ht="15.75" customHeight="1" x14ac:dyDescent="0.35">
      <c r="B167" s="22"/>
      <c r="C167" s="23"/>
      <c r="D167" s="23"/>
      <c r="E167" s="23">
        <v>4300038757</v>
      </c>
      <c r="F167" s="23">
        <v>15419258</v>
      </c>
      <c r="G167" s="23"/>
      <c r="H167" s="35" t="s">
        <v>213</v>
      </c>
      <c r="I167" s="24">
        <v>46158</v>
      </c>
      <c r="J167" s="24"/>
      <c r="K167" s="22"/>
      <c r="L167" s="25">
        <v>2</v>
      </c>
      <c r="M167" s="25"/>
      <c r="N167" s="26">
        <f t="shared" si="31"/>
        <v>0</v>
      </c>
      <c r="O167" s="27">
        <v>271.69</v>
      </c>
      <c r="P167" s="28">
        <f t="shared" si="32"/>
        <v>543.38</v>
      </c>
      <c r="Q167" s="22" t="s">
        <v>67</v>
      </c>
      <c r="R167" s="48" t="s">
        <v>225</v>
      </c>
      <c r="S167" s="30" t="str">
        <f t="shared" si="33"/>
        <v>TBA</v>
      </c>
      <c r="T167" s="30" t="str">
        <f t="shared" si="34"/>
        <v>05/2026</v>
      </c>
      <c r="V167" s="31">
        <f t="shared" si="35"/>
        <v>2</v>
      </c>
      <c r="W167" s="22" t="s">
        <v>39</v>
      </c>
      <c r="X167" s="32"/>
      <c r="Y167" s="33" t="s">
        <v>55</v>
      </c>
      <c r="Z167" s="32"/>
      <c r="AA167" s="41"/>
    </row>
    <row r="168" spans="2:27" ht="15.75" customHeight="1" x14ac:dyDescent="0.35">
      <c r="B168" s="11"/>
      <c r="C168" s="3"/>
      <c r="D168" s="3"/>
      <c r="E168" s="3"/>
      <c r="F168" s="3">
        <v>17564039</v>
      </c>
      <c r="G168" s="3"/>
      <c r="H168" s="3" t="s">
        <v>345</v>
      </c>
      <c r="I168" s="4">
        <v>46271</v>
      </c>
      <c r="J168" s="4">
        <v>46240</v>
      </c>
      <c r="K168" s="11"/>
      <c r="L168" s="5">
        <v>10</v>
      </c>
      <c r="M168" s="5"/>
      <c r="N168" s="13">
        <f t="shared" si="31"/>
        <v>0</v>
      </c>
      <c r="O168" s="14">
        <v>10.68</v>
      </c>
      <c r="P168" s="15">
        <f t="shared" si="32"/>
        <v>106.8</v>
      </c>
      <c r="Q168" s="11"/>
      <c r="R168" s="49" t="s">
        <v>409</v>
      </c>
      <c r="S168" s="17">
        <f t="shared" si="33"/>
        <v>-31</v>
      </c>
      <c r="T168" s="17" t="str">
        <f t="shared" si="34"/>
        <v>09/2026</v>
      </c>
      <c r="U168" s="17" t="str">
        <f>IF(Y168="✔","OK",IF(OR(J168="",J168=0),"",TEXT(MONTH(J168+20),"00")&amp;"/"&amp;TEXT(YEAR(J168+20),"0000")))</f>
        <v>08/2026</v>
      </c>
      <c r="V168" s="18">
        <f t="shared" si="35"/>
        <v>10</v>
      </c>
      <c r="W168" s="11" t="s">
        <v>39</v>
      </c>
      <c r="X168" s="19"/>
      <c r="Y168" s="20"/>
      <c r="Z168" s="19"/>
      <c r="AA168" s="47" t="s">
        <v>346</v>
      </c>
    </row>
    <row r="169" spans="2:27" ht="15.75" customHeight="1" x14ac:dyDescent="0.35">
      <c r="B169" s="22"/>
      <c r="C169" s="23"/>
      <c r="D169" s="23"/>
      <c r="E169" s="23"/>
      <c r="F169" s="23">
        <v>17564042</v>
      </c>
      <c r="G169" s="23"/>
      <c r="H169" s="23" t="s">
        <v>347</v>
      </c>
      <c r="I169" s="24">
        <v>46271</v>
      </c>
      <c r="J169" s="24">
        <v>46233</v>
      </c>
      <c r="K169" s="22"/>
      <c r="L169" s="25">
        <v>10</v>
      </c>
      <c r="M169" s="25"/>
      <c r="N169" s="26">
        <f t="shared" si="31"/>
        <v>0</v>
      </c>
      <c r="O169" s="27">
        <v>70.12</v>
      </c>
      <c r="P169" s="28">
        <f t="shared" si="32"/>
        <v>701.2</v>
      </c>
      <c r="Q169" s="22"/>
      <c r="R169" s="48" t="s">
        <v>409</v>
      </c>
      <c r="S169" s="30">
        <f t="shared" si="33"/>
        <v>-38</v>
      </c>
      <c r="T169" s="30" t="str">
        <f t="shared" si="34"/>
        <v>09/2026</v>
      </c>
      <c r="U169" s="30" t="str">
        <f>IF(Y169="✔","OK",IF(OR(J169="",J169=0),"",TEXT(MONTH(J169+20),"00")&amp;"/"&amp;TEXT(YEAR(J169+20),"0000")))</f>
        <v>08/2026</v>
      </c>
      <c r="V169" s="31">
        <f t="shared" si="35"/>
        <v>10</v>
      </c>
      <c r="W169" s="22" t="s">
        <v>39</v>
      </c>
      <c r="X169" s="32"/>
      <c r="Y169" s="33"/>
      <c r="Z169" s="32"/>
      <c r="AA169" s="59" t="s">
        <v>346</v>
      </c>
    </row>
    <row r="170" spans="2:27" ht="15.75" customHeight="1" x14ac:dyDescent="0.35">
      <c r="B170" s="11"/>
      <c r="C170" s="3"/>
      <c r="D170" s="3"/>
      <c r="E170" s="3"/>
      <c r="F170" s="3">
        <v>17564043</v>
      </c>
      <c r="G170" s="3"/>
      <c r="H170" s="196" t="s">
        <v>494</v>
      </c>
      <c r="I170" s="4">
        <v>46271</v>
      </c>
      <c r="J170" s="4">
        <v>46233</v>
      </c>
      <c r="K170" s="11"/>
      <c r="L170" s="5">
        <v>10</v>
      </c>
      <c r="M170" s="5"/>
      <c r="N170" s="13">
        <f t="shared" si="31"/>
        <v>0</v>
      </c>
      <c r="O170" s="14">
        <v>107.1</v>
      </c>
      <c r="P170" s="15">
        <f t="shared" si="32"/>
        <v>1071</v>
      </c>
      <c r="Q170" s="11"/>
      <c r="R170" s="49" t="s">
        <v>409</v>
      </c>
      <c r="S170" s="17">
        <f t="shared" si="33"/>
        <v>-38</v>
      </c>
      <c r="T170" s="17" t="str">
        <f t="shared" si="34"/>
        <v>09/2026</v>
      </c>
      <c r="U170" s="17" t="str">
        <f>IF(Y170="✔","OK",IF(OR(J170="",J170=0),"",TEXT(MONTH(J170+20),"00")&amp;"/"&amp;TEXT(YEAR(J170+20),"0000")))</f>
        <v>08/2026</v>
      </c>
      <c r="V170" s="18">
        <f t="shared" si="35"/>
        <v>10</v>
      </c>
      <c r="W170" s="11" t="s">
        <v>39</v>
      </c>
      <c r="X170" s="19"/>
      <c r="Y170" s="20"/>
      <c r="Z170" s="19"/>
      <c r="AA170" s="47" t="s">
        <v>346</v>
      </c>
    </row>
    <row r="171" spans="2:27" ht="15.75" customHeight="1" x14ac:dyDescent="0.35">
      <c r="B171" s="22"/>
      <c r="C171" s="23"/>
      <c r="D171" s="23"/>
      <c r="E171" s="23"/>
      <c r="F171" s="23">
        <v>15719798</v>
      </c>
      <c r="G171" s="23"/>
      <c r="H171" s="23" t="s">
        <v>348</v>
      </c>
      <c r="I171" s="24">
        <v>46271</v>
      </c>
      <c r="J171" s="24">
        <v>46233</v>
      </c>
      <c r="K171" s="22"/>
      <c r="L171" s="25">
        <v>40</v>
      </c>
      <c r="M171" s="25"/>
      <c r="N171" s="26">
        <f t="shared" si="31"/>
        <v>0</v>
      </c>
      <c r="O171" s="27">
        <v>162.71</v>
      </c>
      <c r="P171" s="28">
        <f t="shared" si="32"/>
        <v>6508.4000000000005</v>
      </c>
      <c r="Q171" s="22"/>
      <c r="R171" s="48" t="s">
        <v>409</v>
      </c>
      <c r="S171" s="30">
        <f t="shared" si="33"/>
        <v>-38</v>
      </c>
      <c r="T171" s="30" t="str">
        <f t="shared" si="34"/>
        <v>09/2026</v>
      </c>
      <c r="U171" s="30" t="str">
        <f>IF(Y171="✔","OK",IF(OR(J171="",J171=0),"",TEXT(MONTH(J171+20),"00")&amp;"/"&amp;TEXT(YEAR(J171+20),"0000")))</f>
        <v>08/2026</v>
      </c>
      <c r="V171" s="31">
        <f t="shared" si="35"/>
        <v>40</v>
      </c>
      <c r="W171" s="22" t="s">
        <v>39</v>
      </c>
      <c r="X171" s="32"/>
      <c r="Y171" s="33"/>
      <c r="Z171" s="32"/>
      <c r="AA171" s="59" t="s">
        <v>346</v>
      </c>
    </row>
    <row r="172" spans="2:27" ht="15.75" customHeight="1" x14ac:dyDescent="0.35">
      <c r="B172" s="11"/>
      <c r="C172" s="60"/>
      <c r="D172" s="60"/>
      <c r="E172" s="60"/>
      <c r="F172" s="60">
        <v>15430120</v>
      </c>
      <c r="G172" s="60"/>
      <c r="H172" s="60" t="s">
        <v>189</v>
      </c>
      <c r="I172" s="4">
        <v>46271</v>
      </c>
      <c r="J172" s="4"/>
      <c r="K172" s="11"/>
      <c r="L172" s="5">
        <v>2</v>
      </c>
      <c r="M172" s="5"/>
      <c r="N172" s="13">
        <f t="shared" si="31"/>
        <v>0</v>
      </c>
      <c r="O172" s="14"/>
      <c r="P172" s="15">
        <f t="shared" si="32"/>
        <v>0</v>
      </c>
      <c r="Q172" s="11"/>
      <c r="R172" s="49" t="s">
        <v>409</v>
      </c>
      <c r="S172" s="17" t="str">
        <f t="shared" si="33"/>
        <v>TBA</v>
      </c>
      <c r="T172" s="17" t="str">
        <f t="shared" si="34"/>
        <v>09/2026</v>
      </c>
      <c r="V172" s="18">
        <f t="shared" si="35"/>
        <v>2</v>
      </c>
      <c r="W172" s="11" t="s">
        <v>39</v>
      </c>
      <c r="X172" s="19"/>
      <c r="Y172" s="20"/>
      <c r="Z172" s="19"/>
      <c r="AA172" s="47" t="s">
        <v>349</v>
      </c>
    </row>
    <row r="173" spans="2:27" ht="15.75" customHeight="1" x14ac:dyDescent="0.35">
      <c r="B173" s="22"/>
      <c r="C173" s="23"/>
      <c r="D173" s="23"/>
      <c r="E173" s="23"/>
      <c r="F173" s="23">
        <v>15055364</v>
      </c>
      <c r="G173" s="23" t="s">
        <v>350</v>
      </c>
      <c r="H173" s="23" t="s">
        <v>351</v>
      </c>
      <c r="I173" s="24">
        <v>46271</v>
      </c>
      <c r="J173" s="24">
        <v>46212</v>
      </c>
      <c r="K173" s="22"/>
      <c r="L173" s="25">
        <v>20</v>
      </c>
      <c r="M173" s="25"/>
      <c r="N173" s="26">
        <f t="shared" si="31"/>
        <v>0</v>
      </c>
      <c r="O173" s="27">
        <v>157.69999999999999</v>
      </c>
      <c r="P173" s="28">
        <f t="shared" si="32"/>
        <v>3154</v>
      </c>
      <c r="Q173" s="22"/>
      <c r="R173" s="48" t="s">
        <v>409</v>
      </c>
      <c r="S173" s="30">
        <f t="shared" si="33"/>
        <v>-59</v>
      </c>
      <c r="T173" s="30" t="str">
        <f t="shared" si="34"/>
        <v>09/2026</v>
      </c>
      <c r="U173" s="30" t="str">
        <f>IF(Y173="✔","OK",IF(OR(J173="",J173=0),"",TEXT(MONTH(J173+20),"00")&amp;"/"&amp;TEXT(YEAR(J173+20),"0000")))</f>
        <v>07/2026</v>
      </c>
      <c r="V173" s="31">
        <f t="shared" si="35"/>
        <v>20</v>
      </c>
      <c r="W173" s="22" t="s">
        <v>39</v>
      </c>
      <c r="X173" s="32"/>
      <c r="Y173" s="33"/>
      <c r="Z173" s="32"/>
      <c r="AA173" s="59" t="s">
        <v>346</v>
      </c>
    </row>
    <row r="174" spans="2:27" ht="15.75" customHeight="1" x14ac:dyDescent="0.35">
      <c r="B174" s="11"/>
      <c r="C174" s="60"/>
      <c r="D174" s="60"/>
      <c r="E174" s="60"/>
      <c r="F174" s="60">
        <v>17564395</v>
      </c>
      <c r="G174" s="60" t="s">
        <v>352</v>
      </c>
      <c r="H174" s="60" t="s">
        <v>353</v>
      </c>
      <c r="I174" s="4">
        <v>46271</v>
      </c>
      <c r="J174" s="4">
        <v>46212</v>
      </c>
      <c r="K174" s="11"/>
      <c r="L174" s="5">
        <v>30</v>
      </c>
      <c r="M174" s="5"/>
      <c r="N174" s="13">
        <f t="shared" si="31"/>
        <v>0</v>
      </c>
      <c r="O174" s="14">
        <v>1.94</v>
      </c>
      <c r="P174" s="15">
        <f t="shared" si="32"/>
        <v>58.199999999999996</v>
      </c>
      <c r="Q174" s="11"/>
      <c r="R174" s="49" t="s">
        <v>409</v>
      </c>
      <c r="S174" s="17">
        <f t="shared" si="33"/>
        <v>-59</v>
      </c>
      <c r="T174" s="17" t="str">
        <f t="shared" si="34"/>
        <v>09/2026</v>
      </c>
      <c r="U174" s="17" t="str">
        <f>IF(Y174="✔","OK",IF(OR(J174="",J174=0),"",TEXT(MONTH(J174+20),"00")&amp;"/"&amp;TEXT(YEAR(J174+20),"0000")))</f>
        <v>07/2026</v>
      </c>
      <c r="V174" s="18">
        <f t="shared" si="35"/>
        <v>30</v>
      </c>
      <c r="W174" s="11" t="s">
        <v>39</v>
      </c>
      <c r="X174" s="19"/>
      <c r="Y174" s="20"/>
      <c r="Z174" s="19"/>
      <c r="AA174" s="47" t="s">
        <v>346</v>
      </c>
    </row>
    <row r="175" spans="2:27" ht="15.75" customHeight="1" x14ac:dyDescent="0.35">
      <c r="B175" s="22"/>
      <c r="C175" s="23"/>
      <c r="D175" s="23"/>
      <c r="E175" s="23"/>
      <c r="F175" s="23">
        <v>17511563</v>
      </c>
      <c r="G175" s="23" t="s">
        <v>354</v>
      </c>
      <c r="H175" s="23" t="s">
        <v>355</v>
      </c>
      <c r="I175" s="24">
        <v>46271</v>
      </c>
      <c r="J175" s="24">
        <v>46262</v>
      </c>
      <c r="K175" s="22"/>
      <c r="L175" s="25">
        <v>4</v>
      </c>
      <c r="M175" s="25"/>
      <c r="N175" s="26">
        <f t="shared" si="31"/>
        <v>0</v>
      </c>
      <c r="O175" s="27">
        <v>3583.87</v>
      </c>
      <c r="P175" s="28">
        <f t="shared" si="32"/>
        <v>14335.48</v>
      </c>
      <c r="Q175" s="22"/>
      <c r="R175" s="48" t="s">
        <v>409</v>
      </c>
      <c r="S175" s="30">
        <f t="shared" si="33"/>
        <v>-9</v>
      </c>
      <c r="T175" s="30" t="str">
        <f t="shared" si="34"/>
        <v>09/2026</v>
      </c>
      <c r="U175" s="30" t="str">
        <f>IF(Y175="✔","OK",IF(OR(J175="",J175=0),"",TEXT(MONTH(J175+20),"00")&amp;"/"&amp;TEXT(YEAR(J175+20),"0000")))</f>
        <v>09/2026</v>
      </c>
      <c r="V175" s="31">
        <f t="shared" si="35"/>
        <v>4</v>
      </c>
      <c r="W175" s="22" t="s">
        <v>39</v>
      </c>
      <c r="X175" s="32"/>
      <c r="Y175" s="33"/>
      <c r="Z175" s="32"/>
      <c r="AA175" s="59" t="s">
        <v>346</v>
      </c>
    </row>
  </sheetData>
  <autoFilter ref="B3:Z175" xr:uid="{00000000-0009-0000-0000-000001000000}"/>
  <mergeCells count="2">
    <mergeCell ref="B1:Z1"/>
    <mergeCell ref="B2:Z2"/>
  </mergeCells>
  <conditionalFormatting sqref="N4:N675">
    <cfRule type="colorScale" priority="14">
      <colorScale>
        <cfvo type="num" val="0"/>
        <cfvo type="num" val="0.5"/>
        <cfvo type="num" val="1"/>
        <color rgb="FFFFCCCC"/>
        <color rgb="FFFFFF99"/>
        <color rgb="FFCCFFCC"/>
      </colorScale>
    </cfRule>
  </conditionalFormatting>
  <conditionalFormatting sqref="R4:R675">
    <cfRule type="expression" dxfId="37" priority="2">
      <formula>$R4="COLLECTED"</formula>
    </cfRule>
    <cfRule type="expression" dxfId="36" priority="3">
      <formula>$R4="READY FOR COLLECTION"</formula>
    </cfRule>
    <cfRule type="expression" dxfId="35" priority="4">
      <formula>$R4="SHS"</formula>
    </cfRule>
    <cfRule type="expression" dxfId="34" priority="5">
      <formula>$R4="BOK"</formula>
    </cfRule>
    <cfRule type="expression" dxfId="33" priority="6">
      <formula>$R4="RBK"</formula>
    </cfRule>
    <cfRule type="expression" dxfId="32" priority="7">
      <formula>$R4="ENT"</formula>
    </cfRule>
    <cfRule type="expression" dxfId="31" priority="8">
      <formula>$R4="RPI"</formula>
    </cfRule>
    <cfRule type="expression" dxfId="30" priority="9">
      <formula>$R4="ALL"</formula>
    </cfRule>
    <cfRule type="expression" dxfId="29" priority="10">
      <formula>$R4="BUDGET"</formula>
    </cfRule>
  </conditionalFormatting>
  <conditionalFormatting sqref="S4:S675">
    <cfRule type="expression" dxfId="28" priority="13">
      <formula>$S4="✔ OK"</formula>
    </cfRule>
  </conditionalFormatting>
  <conditionalFormatting sqref="U4:U675">
    <cfRule type="expression" dxfId="27" priority="20">
      <formula>$U4="OK"</formula>
    </cfRule>
  </conditionalFormatting>
  <conditionalFormatting sqref="X4:X675">
    <cfRule type="expression" dxfId="26" priority="11">
      <formula>$X4="✔"</formula>
    </cfRule>
    <cfRule type="expression" dxfId="25" priority="12">
      <formula>$X4="✘"</formula>
    </cfRule>
  </conditionalFormatting>
  <conditionalFormatting sqref="Y4:Y675">
    <cfRule type="expression" dxfId="24" priority="15">
      <formula>$Y4="⚠"</formula>
    </cfRule>
    <cfRule type="expression" dxfId="23" priority="16">
      <formula>$Y4="📅"</formula>
    </cfRule>
    <cfRule type="expression" dxfId="22" priority="17">
      <formula>$Y4="🔮"</formula>
    </cfRule>
    <cfRule type="expression" dxfId="21" priority="18">
      <formula>$Y4="✔"</formula>
    </cfRule>
    <cfRule type="expression" dxfId="20" priority="19">
      <formula>$Y4="✘"</formula>
    </cfRule>
  </conditionalFormatting>
  <dataValidations count="2">
    <dataValidation type="list" allowBlank="1" sqref="R4:R675" xr:uid="{00000000-0002-0000-0100-000000000000}">
      <formula1>"COLLECTED,READY FOR COLLECTION,SHS,BOK,RBK,ENT,RPI,ALL,BUDGET"</formula1>
      <formula2>0</formula2>
    </dataValidation>
    <dataValidation type="list" allowBlank="1" sqref="Y4:Y675" xr:uid="{00000000-0002-0000-0100-000001000000}">
      <formula1>"✔,✘,⚠,📅,🔮,"</formula1>
      <formula2>0</formula2>
    </dataValidation>
  </dataValidations>
  <pageMargins left="0.39374999999999999" right="0.43333333333333302" top="0.98402777777777795" bottom="0.98402777777777795" header="0.511811023622047" footer="0.511811023622047"/>
  <pageSetup paperSize="9" scale="65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5"/>
  <sheetViews>
    <sheetView showGridLines="0" zoomScaleNormal="100" workbookViewId="0">
      <selection activeCell="C4" sqref="C4:J4"/>
    </sheetView>
  </sheetViews>
  <sheetFormatPr defaultColWidth="8.6328125" defaultRowHeight="14.5" x14ac:dyDescent="0.35"/>
  <cols>
    <col min="1" max="1" width="2" customWidth="1"/>
    <col min="2" max="2" width="13" customWidth="1"/>
    <col min="3" max="3" width="14.453125" customWidth="1"/>
    <col min="4" max="10" width="13" customWidth="1"/>
    <col min="11" max="11" width="2" customWidth="1"/>
  </cols>
  <sheetData>
    <row r="1" spans="1:11" ht="39.75" customHeight="1" x14ac:dyDescent="0.35">
      <c r="A1" s="219" t="s">
        <v>356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</row>
    <row r="2" spans="1:11" ht="12" customHeight="1" x14ac:dyDescent="0.35"/>
    <row r="3" spans="1:11" ht="13.5" customHeight="1" x14ac:dyDescent="0.35">
      <c r="B3" s="61" t="s">
        <v>357</v>
      </c>
      <c r="C3" s="220" t="s">
        <v>358</v>
      </c>
      <c r="D3" s="220"/>
      <c r="E3" s="220"/>
      <c r="F3" s="220"/>
      <c r="G3" s="220"/>
      <c r="H3" s="220"/>
      <c r="I3" s="220"/>
      <c r="J3" s="220"/>
    </row>
    <row r="4" spans="1:11" ht="33.75" customHeight="1" x14ac:dyDescent="0.35">
      <c r="B4" s="62" t="s">
        <v>11</v>
      </c>
      <c r="C4" s="221" t="s">
        <v>230</v>
      </c>
      <c r="D4" s="221"/>
      <c r="E4" s="221"/>
      <c r="F4" s="221"/>
      <c r="G4" s="221"/>
      <c r="H4" s="221"/>
      <c r="I4" s="221"/>
      <c r="J4" s="221"/>
      <c r="K4" s="63" t="str">
        <f>IF($C$4="","",IFERROR(VALUE($C$4),$C$4))</f>
        <v>26Z0000386</v>
      </c>
    </row>
    <row r="5" spans="1:11" ht="12" customHeight="1" x14ac:dyDescent="0.35"/>
    <row r="6" spans="1:11" ht="21.75" customHeight="1" x14ac:dyDescent="0.35">
      <c r="B6" s="206" t="s">
        <v>359</v>
      </c>
      <c r="C6" s="206"/>
      <c r="D6" s="206"/>
      <c r="E6" s="206"/>
      <c r="F6" s="206"/>
      <c r="G6" s="206"/>
      <c r="H6" s="206"/>
      <c r="I6" s="206"/>
      <c r="J6" s="206"/>
    </row>
    <row r="7" spans="1:11" ht="15.75" customHeight="1" x14ac:dyDescent="0.35">
      <c r="B7" s="64" t="s">
        <v>360</v>
      </c>
      <c r="C7" s="64" t="s">
        <v>11</v>
      </c>
      <c r="D7" s="64" t="s">
        <v>361</v>
      </c>
      <c r="E7" s="64" t="s">
        <v>362</v>
      </c>
      <c r="F7" s="64" t="s">
        <v>17</v>
      </c>
      <c r="G7" s="64" t="s">
        <v>363</v>
      </c>
      <c r="H7" s="64" t="s">
        <v>364</v>
      </c>
      <c r="I7" s="64" t="s">
        <v>365</v>
      </c>
    </row>
    <row r="8" spans="1:11" ht="24" customHeight="1" x14ac:dyDescent="0.35">
      <c r="B8" s="65" t="str">
        <f>IFERROR(INDEX('📋 ORDERS'!$B$4:$B$675,MATCH($K$4,IF($B$4="SKF Order",'📋 ORDERS'!$C$4:$C$675,IF($B$4="TATA Order",'📋 ORDERS'!$D$4:$D$675,IF($B$4="Vulcan PO",'📋 ORDERS'!$E$4:$E$675,'📋 ORDERS'!$Q$4:$Q$675))),0)),"")</f>
        <v>0001A</v>
      </c>
      <c r="C8" s="66" t="str">
        <f>IFERROR(INDEX('📋 ORDERS'!$C$4:$C$675,MATCH($K$4,IF($B$4="SKF Order",'📋 ORDERS'!$C$4:$C$675,IF($B$4="TATA Order",'📋 ORDERS'!$D$4:$D$675,IF($B$4="Vulcan PO",'📋 ORDERS'!$E$4:$E$675,'📋 ORDERS'!$Q$4:$Q$675))),0)),"")</f>
        <v>26Z0000386</v>
      </c>
      <c r="D8" s="67" t="str">
        <f>IFERROR(INDEX('📋 ORDERS'!$D$4:$D$675,MATCH($K$4,IF($B$4="SKF Order",'📋 ORDERS'!$C$4:$C$675,IF($B$4="TATA Order",'📋 ORDERS'!$D$4:$D$675,IF($B$4="Vulcan PO",'📋 ORDERS'!$E$4:$E$675,'📋 ORDERS'!$Q$4:$Q$675))),0)),"")</f>
        <v>262910319A</v>
      </c>
      <c r="E8" s="68">
        <f>IFERROR(INDEX('📋 ORDERS'!$E$4:$E$675,MATCH($K$4,IF($B$4="SKF Order",'📋 ORDERS'!$C$4:$C$675,IF($B$4="TATA Order",'📋 ORDERS'!$D$4:$D$675,IF($B$4="Vulcan PO",'📋 ORDERS'!$E$4:$E$675,'📋 ORDERS'!$Q$4:$Q$675))),0)),"")</f>
        <v>4300037815</v>
      </c>
      <c r="F8" s="69" t="str">
        <f>IFERROR(INDEX('📋 ORDERS'!$K$4:$K$675,MATCH($K$4,IF($B$4="SKF Order",'📋 ORDERS'!$C$4:$C$675,IF($B$4="TATA Order",'📋 ORDERS'!$D$4:$D$675,IF($B$4="Vulcan PO",'📋 ORDERS'!$E$4:$E$675,'📋 ORDERS'!$Q$4:$Q$675))),0)),"")</f>
        <v>EMWH</v>
      </c>
      <c r="G8" s="70">
        <f>IFERROR(INDEX('📋 ORDERS'!$I$4:$I$675,MATCH($K$4,IF($B$4="SKF Order",'📋 ORDERS'!$C$4:$C$675,IF($B$4="TATA Order",'📋 ORDERS'!$D$4:$D$675,IF($B$4="Vulcan PO",'📋 ORDERS'!$E$4:$E$675,'📋 ORDERS'!$Q$4:$Q$675))),0)),"")</f>
        <v>46155</v>
      </c>
      <c r="H8" s="70">
        <f>IFERROR(INDEX('📋 ORDERS'!$J$4:$J$675,MATCH($K$4,IF($B$4="SKF Order",'📋 ORDERS'!$C$4:$C$675,IF($B$4="TATA Order",'📋 ORDERS'!$D$4:$D$675,IF($B$4="Vulcan PO",'📋 ORDERS'!$E$4:$E$675,'📋 ORDERS'!$Q$4:$Q$675))),0)),"")</f>
        <v>46182</v>
      </c>
      <c r="I8" s="65" t="str">
        <f>IFERROR(INDEX('📋 ORDERS'!$S$4:$S$675,MATCH($K$4,IF($B$4="SKF Order",'📋 ORDERS'!$C$4:$C$675,IF($B$4="TATA Order",'📋 ORDERS'!$D$4:$D$675,IF($B$4="Vulcan PO",'📋 ORDERS'!$E$4:$E$675,'📋 ORDERS'!$Q$4:$Q$675))),0)),"")</f>
        <v>✔ OK</v>
      </c>
    </row>
    <row r="9" spans="1:11" ht="7.5" customHeight="1" x14ac:dyDescent="0.35"/>
    <row r="10" spans="1:11" ht="15.75" customHeight="1" x14ac:dyDescent="0.35">
      <c r="B10" s="1" t="s">
        <v>366</v>
      </c>
      <c r="C10" s="1" t="s">
        <v>23</v>
      </c>
      <c r="D10" s="1" t="s">
        <v>25</v>
      </c>
      <c r="E10" s="1" t="s">
        <v>367</v>
      </c>
      <c r="F10" s="1" t="s">
        <v>368</v>
      </c>
      <c r="G10" s="1" t="s">
        <v>369</v>
      </c>
      <c r="H10" s="1" t="s">
        <v>370</v>
      </c>
      <c r="I10" s="222" t="s">
        <v>371</v>
      </c>
      <c r="J10" s="222"/>
    </row>
    <row r="11" spans="1:11" ht="27.75" customHeight="1" x14ac:dyDescent="0.35">
      <c r="B11" s="71" t="str">
        <f>IFERROR(INDEX('📋 ORDERS'!$Q$4:$Q$675,MATCH($K$4,IF($B$4="SKF Order",'📋 ORDERS'!$C$4:$C$675,IF($B$4="TATA Order",'📋 ORDERS'!$D$4:$D$675,IF($B$4="Vulcan PO",'📋 ORDERS'!$E$4:$E$675,'📋 ORDERS'!$Q$4:$Q$675))),0)),"")</f>
        <v>12675</v>
      </c>
      <c r="C11" s="72" t="str">
        <f>IFERROR(INDEX('📋 ORDERS'!$R$4:$R$675,MATCH($K$4,IF($B$4="SKF Order",'📋 ORDERS'!$C$4:$C$675,IF($B$4="TATA Order",'📋 ORDERS'!$D$4:$D$675,IF($B$4="Vulcan PO",'📋 ORDERS'!$E$4:$E$675,'📋 ORDERS'!$Q$4:$Q$675))),0)),"")</f>
        <v>COLLECTED</v>
      </c>
      <c r="D11" s="73" t="str">
        <f>IFERROR(INDEX('📋 ORDERS'!$T$4:$T$675,MATCH($K$4,IF($B$4="SKF Order",'📋 ORDERS'!$C$4:$C$675,IF($B$4="TATA Order",'📋 ORDERS'!$D$4:$D$675,IF($B$4="Vulcan PO",'📋 ORDERS'!$E$4:$E$675,'📋 ORDERS'!$Q$4:$Q$675))),0)),"")</f>
        <v>05/2026</v>
      </c>
      <c r="E11" s="74">
        <f>IFERROR(INDEX('📋 ORDERS'!$O$4:$O$675,MATCH($K$4,IF($B$4="SKF Order",'📋 ORDERS'!$C$4:$C$675,IF($B$4="TATA Order",'📋 ORDERS'!$D$4:$D$675,IF($B$4="Vulcan PO",'📋 ORDERS'!$E$4:$E$675,'📋 ORDERS'!$Q$4:$Q$675))),0)),"")</f>
        <v>678.04</v>
      </c>
      <c r="F11" s="75">
        <f>IFERROR(INDEX('📋 ORDERS'!$L$4:$L$675,MATCH($K$4,IF($B$4="SKF Order",'📋 ORDERS'!$C$4:$C$675,IF($B$4="TATA Order",'📋 ORDERS'!$D$4:$D$675,IF($B$4="Vulcan PO",'📋 ORDERS'!$E$4:$E$675,'📋 ORDERS'!$Q$4:$Q$675))),0)),"")</f>
        <v>20</v>
      </c>
      <c r="G11" s="76">
        <f>IFERROR(INDEX('📋 ORDERS'!$M$4:$M$675,MATCH($K$4,IF($B$4="SKF Order",'📋 ORDERS'!$C$4:$C$675,IF($B$4="TATA Order",'📋 ORDERS'!$D$4:$D$675,IF($B$4="Vulcan PO",'📋 ORDERS'!$E$4:$E$675,'📋 ORDERS'!$Q$4:$Q$675))),0)),"")</f>
        <v>20</v>
      </c>
      <c r="H11" s="77" t="str">
        <f>IFERROR(INDEX('📋 ORDERS'!$U$4:$U$675,MATCH($K$4,IF($B$4="SKF Order",'📋 ORDERS'!$C$4:$C$675,IF($B$4="TATA Order",'📋 ORDERS'!$D$4:$D$675,IF($B$4="Vulcan PO",'📋 ORDERS'!$E$4:$E$675,'📋 ORDERS'!$Q$4:$Q$675))),0)),"")</f>
        <v>OK</v>
      </c>
      <c r="I11" s="214" t="str">
        <f>IFERROR(INDEX('📋 ORDERS'!$G$4:$G$675,MATCH($K$4,IF($B$4="SKF Order",'📋 ORDERS'!$C$4:$C$675,IF($B$4="TATA Order",'📋 ORDERS'!$D$4:$D$675,IF($B$4="Vulcan PO",'📋 ORDERS'!$E$4:$E$675,'📋 ORDERS'!$Q$4:$Q$675))),0)),"")</f>
        <v>22326 CCJA/W33VA405</v>
      </c>
      <c r="J11" s="214"/>
    </row>
    <row r="12" spans="1:11" ht="19.5" customHeight="1" x14ac:dyDescent="0.35">
      <c r="B12" s="215" t="str">
        <f>IFERROR(REPT("█",ROUND((IFERROR(INDEX('📋 ORDERS'!$N$4:$N$675,MATCH($K$4,IF($B$4="SKF Order",'📋 ORDERS'!$C$4:$C$675,IF($B$4="TATA Order",'📋 ORDERS'!$D$4:$D$675,IF($B$4="Vulcan PO",'📋 ORDERS'!$E$4:$E$675,'📋 ORDERS'!$Q$4:$Q$675))),0)),0))*30,0))&amp;REPT("░",30-ROUND((IFERROR(INDEX('📋 ORDERS'!$N$4:$N$675,MATCH($K$4,IF($B$4="SKF Order",'📋 ORDERS'!$C$4:$C$675,IF($B$4="TATA Order",'📋 ORDERS'!$D$4:$D$675,IF($B$4="Vulcan PO",'📋 ORDERS'!$E$4:$E$675,'📋 ORDERS'!$Q$4:$Q$675))),0)),0))*30,0))&amp;"  "&amp;TEXT(IFERROR(INDEX('📋 ORDERS'!$N$4:$N$675,MATCH($K$4,IF($B$4="SKF Order",'📋 ORDERS'!$C$4:$C$675,IF($B$4="TATA Order",'📋 ORDERS'!$D$4:$D$675,IF($B$4="Vulcan PO",'📋 ORDERS'!$E$4:$E$675,'📋 ORDERS'!$Q$4:$Q$675))),0)),0),"0%")&amp;" expedido","")</f>
        <v>██████████████████████████████  100% expedido</v>
      </c>
      <c r="C12" s="215"/>
      <c r="D12" s="215"/>
      <c r="E12" s="215"/>
      <c r="F12" s="215"/>
      <c r="G12" s="215"/>
      <c r="H12" s="215"/>
      <c r="I12" s="215"/>
      <c r="J12" s="215"/>
    </row>
    <row r="13" spans="1:11" ht="7.5" customHeight="1" x14ac:dyDescent="0.35"/>
    <row r="14" spans="1:11" ht="21.75" customHeight="1" x14ac:dyDescent="0.35">
      <c r="B14" s="216" t="s">
        <v>372</v>
      </c>
      <c r="C14" s="216"/>
      <c r="D14" s="216"/>
      <c r="E14" s="216"/>
      <c r="F14" s="216"/>
      <c r="G14" s="216"/>
      <c r="H14" s="216"/>
      <c r="I14" s="216"/>
      <c r="J14" s="216"/>
    </row>
    <row r="15" spans="1:11" ht="37.5" customHeight="1" x14ac:dyDescent="0.35">
      <c r="B15" s="217">
        <f>IFERROR(INDEX('📋 ORDERS'!$P$4:$P$675,MATCH($K$4,IF($B$4="SKF Order",'📋 ORDERS'!$C$4:$C$675,IF($B$4="TATA Order",'📋 ORDERS'!$D$4:$D$675,IF($B$4="Vulcan PO",'📋 ORDERS'!$E$4:$E$675,'📋 ORDERS'!$Q$4:$Q$675))),0)),"")</f>
        <v>13560.8</v>
      </c>
      <c r="C15" s="217"/>
      <c r="D15" s="217"/>
      <c r="E15" s="217"/>
      <c r="F15" s="217"/>
      <c r="G15" s="217"/>
      <c r="H15" s="217"/>
      <c r="I15" s="217"/>
      <c r="J15" s="217"/>
    </row>
    <row r="16" spans="1:11" ht="7.5" customHeight="1" x14ac:dyDescent="0.35"/>
    <row r="17" spans="2:10" ht="21.75" customHeight="1" x14ac:dyDescent="0.35">
      <c r="B17" s="218" t="s">
        <v>373</v>
      </c>
      <c r="C17" s="218"/>
      <c r="D17" s="218"/>
      <c r="E17" s="218"/>
      <c r="F17" s="218"/>
      <c r="G17" s="218"/>
      <c r="H17" s="218"/>
      <c r="I17" s="218"/>
      <c r="J17" s="218"/>
    </row>
    <row r="18" spans="2:10" ht="15.75" customHeight="1" x14ac:dyDescent="0.35">
      <c r="B18" s="78" t="s">
        <v>374</v>
      </c>
      <c r="C18" s="208" t="s">
        <v>375</v>
      </c>
      <c r="D18" s="208"/>
      <c r="E18" s="209" t="s">
        <v>376</v>
      </c>
      <c r="F18" s="209"/>
      <c r="G18" s="210" t="s">
        <v>32</v>
      </c>
      <c r="H18" s="210"/>
      <c r="I18" s="210"/>
      <c r="J18" s="210"/>
    </row>
    <row r="19" spans="2:10" ht="31.5" customHeight="1" x14ac:dyDescent="0.35">
      <c r="B19" s="79">
        <f>IFERROR(INDEX('📋 ORDERS'!$X$4:$X$675,MATCH($K$4,IF($B$4="SKF Order",'📋 ORDERS'!$C$4:$C$675,IF($B$4="TATA Order",'📋 ORDERS'!$D$4:$D$675,IF($B$4="Vulcan PO",'📋 ORDERS'!$E$4:$E$675,'📋 ORDERS'!$Q$4:$Q$675))),0)),"")</f>
        <v>46164</v>
      </c>
      <c r="C19" s="211" t="str">
        <f>IFERROR(INDEX('📋 ORDERS'!$W$4:$W$675,MATCH($K$4,IF($B$4="SKF Order",'📋 ORDERS'!$C$4:$C$675,IF($B$4="TATA Order",'📋 ORDERS'!$D$4:$D$675,IF($B$4="Vulcan PO",'📋 ORDERS'!$E$4:$E$675,'📋 ORDERS'!$Q$4:$Q$675))),0)),"")</f>
        <v>F66050</v>
      </c>
      <c r="D19" s="211"/>
      <c r="E19" s="212" t="str">
        <f>IFERROR(INDEX('📋 ORDERS'!$Y$4:$Y$675,MATCH($K$4,IF($B$4="SKF Order",'📋 ORDERS'!$C$4:$C$675,IF($B$4="TATA Order",'📋 ORDERS'!$D$4:$D$675,IF($B$4="Vulcan PO",'📋 ORDERS'!$E$4:$E$675,'📋 ORDERS'!$Q$4:$Q$675))),0)),"")</f>
        <v>✔</v>
      </c>
      <c r="F19" s="212"/>
      <c r="G19" s="213">
        <f>IFERROR(INDEX('📋 ORDERS'!$Z$4:$Z$675,MATCH($K$4,IF($B$4="SKF Order",'📋 ORDERS'!$C$4:$C$675,IF($B$4="TATA Order",'📋 ORDERS'!$D$4:$D$675,IF($B$4="Vulcan PO",'📋 ORDERS'!$E$4:$E$675,'📋 ORDERS'!$Q$4:$Q$675))),0)),"")</f>
        <v>46181</v>
      </c>
      <c r="H19" s="213"/>
      <c r="I19" s="213"/>
      <c r="J19" s="213"/>
    </row>
    <row r="20" spans="2:10" ht="7.5" customHeight="1" x14ac:dyDescent="0.35"/>
    <row r="21" spans="2:10" ht="21.75" hidden="1" customHeight="1" x14ac:dyDescent="0.35">
      <c r="B21" s="206" t="s">
        <v>377</v>
      </c>
      <c r="C21" s="206"/>
      <c r="D21" s="206"/>
      <c r="E21" s="206"/>
      <c r="F21" s="206"/>
      <c r="G21" s="206"/>
      <c r="H21" s="206"/>
      <c r="I21" s="206"/>
      <c r="J21" s="206"/>
    </row>
    <row r="22" spans="2:10" ht="18" hidden="1" customHeight="1" x14ac:dyDescent="0.35">
      <c r="B22" s="80" t="s">
        <v>378</v>
      </c>
      <c r="C22" s="80" t="s">
        <v>360</v>
      </c>
      <c r="D22" s="207" t="s">
        <v>371</v>
      </c>
      <c r="E22" s="207"/>
      <c r="F22" s="80" t="s">
        <v>17</v>
      </c>
      <c r="G22" s="80" t="s">
        <v>379</v>
      </c>
      <c r="H22" s="80" t="s">
        <v>380</v>
      </c>
      <c r="I22" s="80" t="s">
        <v>23</v>
      </c>
      <c r="J22" s="80" t="s">
        <v>365</v>
      </c>
    </row>
    <row r="23" spans="2:10" ht="15.75" hidden="1" customHeight="1" x14ac:dyDescent="0.35">
      <c r="B23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ORDERS'!$Q$4:$Q$675)))=$K$4),1),0)=0,"",1)</f>
        <v/>
      </c>
      <c r="C23" s="82" t="str">
        <f ca="1">IF(IFERROR(_xludf.aggregate(15,6,(ROW('📋 ORDERS'!$B$4:$B$675)-3)/(IF($B$4="SKF Order",'📋 ORDERS'!$C$4:$C$675,IF($B$4="TATA Order",'📋 ORDERS'!$D$4:$D$675,IF($B$4="Vulcan PO",'📋 ORDERS'!$E$4:$E$675,'📋 ORDERS'!$Q$4:$Q$675)))=$K$4),1),0)=0,"",IFERROR(INDEX('📋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ORDERS'!$Q$4:$Q$675)))=$K$4),1),0)),""))</f>
        <v/>
      </c>
      <c r="D23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ORDERS'!$Q$4:$Q$675)))=$K$4),1),0)=0,"",IFERROR(INDEX('📋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ORDERS'!$Q$4:$Q$675)))=$K$4),1),0)),""))</f>
        <v/>
      </c>
      <c r="E23" s="203"/>
      <c r="F23" s="83" t="str">
        <f ca="1">IF(IFERROR(_xludf.aggregate(15,6,(ROW('📋 ORDERS'!$B$4:$B$675)-3)/(IF($B$4="SKF Order",'📋 ORDERS'!$C$4:$C$675,IF($B$4="TATA Order",'📋 ORDERS'!$D$4:$D$675,IF($B$4="Vulcan PO",'📋 ORDERS'!$E$4:$E$675,'📋 ORDERS'!$Q$4:$Q$675)))=$K$4),1),0)=0,"",IFERROR(INDEX('📋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ORDERS'!$Q$4:$Q$675)))=$K$4),1),0)),""))</f>
        <v/>
      </c>
      <c r="G23" s="84" t="str">
        <f ca="1">IF(IFERROR(_xludf.aggregate(15,6,(ROW('📋 ORDERS'!$B$4:$B$675)-3)/(IF($B$4="SKF Order",'📋 ORDERS'!$C$4:$C$675,IF($B$4="TATA Order",'📋 ORDERS'!$D$4:$D$675,IF($B$4="Vulcan PO",'📋 ORDERS'!$E$4:$E$675,'📋 ORDERS'!$Q$4:$Q$675)))=$K$4),1),0)=0,"",IFERROR(INDEX('📋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ORDERS'!$Q$4:$Q$675)))=$K$4),1),0)),""))</f>
        <v/>
      </c>
      <c r="H23" s="85" t="str">
        <f ca="1">IF(IFERROR(_xludf.aggregate(15,6,(ROW('📋 ORDERS'!$B$4:$B$675)-3)/(IF($B$4="SKF Order",'📋 ORDERS'!$C$4:$C$675,IF($B$4="TATA Order",'📋 ORDERS'!$D$4:$D$675,IF($B$4="Vulcan PO",'📋 ORDERS'!$E$4:$E$675,'📋 ORDERS'!$Q$4:$Q$675)))=$K$4),1),0)=0,"",IFERROR(INDEX('📋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ORDERS'!$Q$4:$Q$675)))=$K$4),1),0)),""))</f>
        <v/>
      </c>
      <c r="I23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ORDERS'!$Q$4:$Q$675)))=$K$4),1),0)),""))</f>
        <v/>
      </c>
      <c r="J23" s="86" t="str">
        <f ca="1">IF(IFERROR(_xludf.aggregate(15,6,(ROW('📋 ORDERS'!$B$4:$B$675)-3)/(IF($B$4="SKF Order",'📋 ORDERS'!$C$4:$C$675,IF($B$4="TATA Order",'📋 ORDERS'!$D$4:$D$675,IF($B$4="Vulcan PO",'📋 ORDERS'!$E$4:$E$675,'📋 ORDERS'!$Q$4:$Q$675)))=$K$4),1),0)=0,"",IFERROR(INDEX('📋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ORDERS'!$Q$4:$Q$675)))=$K$4),1),0)),""))</f>
        <v/>
      </c>
    </row>
    <row r="24" spans="2:10" ht="15.75" hidden="1" customHeight="1" x14ac:dyDescent="0.35">
      <c r="B24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ORDERS'!$Q$4:$Q$675)))=$K$4),2),0)=0,"",2)</f>
        <v/>
      </c>
      <c r="C24" s="88" t="str">
        <f ca="1">IF(IFERROR(_xludf.aggregate(15,6,(ROW('📋 ORDERS'!$B$4:$B$675)-3)/(IF($B$4="SKF Order",'📋 ORDERS'!$C$4:$C$675,IF($B$4="TATA Order",'📋 ORDERS'!$D$4:$D$675,IF($B$4="Vulcan PO",'📋 ORDERS'!$E$4:$E$675,'📋 ORDERS'!$Q$4:$Q$675)))=$K$4),2),0)=0,"",IFERROR(INDEX('📋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ORDERS'!$Q$4:$Q$675)))=$K$4),2),0)),""))</f>
        <v/>
      </c>
      <c r="D24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ORDERS'!$Q$4:$Q$675)))=$K$4),2),0)=0,"",IFERROR(INDEX('📋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ORDERS'!$Q$4:$Q$675)))=$K$4),2),0)),""))</f>
        <v/>
      </c>
      <c r="E24" s="204"/>
      <c r="F24" s="89" t="str">
        <f ca="1">IF(IFERROR(_xludf.aggregate(15,6,(ROW('📋 ORDERS'!$B$4:$B$675)-3)/(IF($B$4="SKF Order",'📋 ORDERS'!$C$4:$C$675,IF($B$4="TATA Order",'📋 ORDERS'!$D$4:$D$675,IF($B$4="Vulcan PO",'📋 ORDERS'!$E$4:$E$675,'📋 ORDERS'!$Q$4:$Q$675)))=$K$4),2),0)=0,"",IFERROR(INDEX('📋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ORDERS'!$Q$4:$Q$675)))=$K$4),2),0)),""))</f>
        <v/>
      </c>
      <c r="G24" s="90" t="str">
        <f ca="1">IF(IFERROR(_xludf.aggregate(15,6,(ROW('📋 ORDERS'!$B$4:$B$675)-3)/(IF($B$4="SKF Order",'📋 ORDERS'!$C$4:$C$675,IF($B$4="TATA Order",'📋 ORDERS'!$D$4:$D$675,IF($B$4="Vulcan PO",'📋 ORDERS'!$E$4:$E$675,'📋 ORDERS'!$Q$4:$Q$675)))=$K$4),2),0)=0,"",IFERROR(INDEX('📋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ORDERS'!$Q$4:$Q$675)))=$K$4),2),0)),""))</f>
        <v/>
      </c>
      <c r="H24" s="91" t="str">
        <f ca="1">IF(IFERROR(_xludf.aggregate(15,6,(ROW('📋 ORDERS'!$B$4:$B$675)-3)/(IF($B$4="SKF Order",'📋 ORDERS'!$C$4:$C$675,IF($B$4="TATA Order",'📋 ORDERS'!$D$4:$D$675,IF($B$4="Vulcan PO",'📋 ORDERS'!$E$4:$E$675,'📋 ORDERS'!$Q$4:$Q$675)))=$K$4),2),0)=0,"",IFERROR(INDEX('📋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ORDERS'!$Q$4:$Q$675)))=$K$4),2),0)),""))</f>
        <v/>
      </c>
      <c r="I24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ORDERS'!$Q$4:$Q$675)))=$K$4),2),0)),""))</f>
        <v/>
      </c>
      <c r="J24" s="92" t="str">
        <f ca="1">IF(IFERROR(_xludf.aggregate(15,6,(ROW('📋 ORDERS'!$B$4:$B$675)-3)/(IF($B$4="SKF Order",'📋 ORDERS'!$C$4:$C$675,IF($B$4="TATA Order",'📋 ORDERS'!$D$4:$D$675,IF($B$4="Vulcan PO",'📋 ORDERS'!$E$4:$E$675,'📋 ORDERS'!$Q$4:$Q$675)))=$K$4),2),0)=0,"",IFERROR(INDEX('📋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ORDERS'!$Q$4:$Q$675)))=$K$4),2),0)),""))</f>
        <v/>
      </c>
    </row>
    <row r="25" spans="2:10" ht="15.75" hidden="1" customHeight="1" x14ac:dyDescent="0.35">
      <c r="B25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ORDERS'!$Q$4:$Q$675)))=$K$4),3),0)=0,"",3)</f>
        <v/>
      </c>
      <c r="C25" s="82" t="str">
        <f ca="1">IF(IFERROR(_xludf.aggregate(15,6,(ROW('📋 ORDERS'!$B$4:$B$675)-3)/(IF($B$4="SKF Order",'📋 ORDERS'!$C$4:$C$675,IF($B$4="TATA Order",'📋 ORDERS'!$D$4:$D$675,IF($B$4="Vulcan PO",'📋 ORDERS'!$E$4:$E$675,'📋 ORDERS'!$Q$4:$Q$675)))=$K$4),3),0)=0,"",IFERROR(INDEX('📋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ORDERS'!$Q$4:$Q$675)))=$K$4),3),0)),""))</f>
        <v/>
      </c>
      <c r="D25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ORDERS'!$Q$4:$Q$675)))=$K$4),3),0)=0,"",IFERROR(INDEX('📋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ORDERS'!$Q$4:$Q$675)))=$K$4),3),0)),""))</f>
        <v/>
      </c>
      <c r="E25" s="203"/>
      <c r="F25" s="83" t="str">
        <f ca="1">IF(IFERROR(_xludf.aggregate(15,6,(ROW('📋 ORDERS'!$B$4:$B$675)-3)/(IF($B$4="SKF Order",'📋 ORDERS'!$C$4:$C$675,IF($B$4="TATA Order",'📋 ORDERS'!$D$4:$D$675,IF($B$4="Vulcan PO",'📋 ORDERS'!$E$4:$E$675,'📋 ORDERS'!$Q$4:$Q$675)))=$K$4),3),0)=0,"",IFERROR(INDEX('📋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ORDERS'!$Q$4:$Q$675)))=$K$4),3),0)),""))</f>
        <v/>
      </c>
      <c r="G25" s="84" t="str">
        <f ca="1">IF(IFERROR(_xludf.aggregate(15,6,(ROW('📋 ORDERS'!$B$4:$B$675)-3)/(IF($B$4="SKF Order",'📋 ORDERS'!$C$4:$C$675,IF($B$4="TATA Order",'📋 ORDERS'!$D$4:$D$675,IF($B$4="Vulcan PO",'📋 ORDERS'!$E$4:$E$675,'📋 ORDERS'!$Q$4:$Q$675)))=$K$4),3),0)=0,"",IFERROR(INDEX('📋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ORDERS'!$Q$4:$Q$675)))=$K$4),3),0)),""))</f>
        <v/>
      </c>
      <c r="H25" s="85" t="str">
        <f ca="1">IF(IFERROR(_xludf.aggregate(15,6,(ROW('📋 ORDERS'!$B$4:$B$675)-3)/(IF($B$4="SKF Order",'📋 ORDERS'!$C$4:$C$675,IF($B$4="TATA Order",'📋 ORDERS'!$D$4:$D$675,IF($B$4="Vulcan PO",'📋 ORDERS'!$E$4:$E$675,'📋 ORDERS'!$Q$4:$Q$675)))=$K$4),3),0)=0,"",IFERROR(INDEX('📋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ORDERS'!$Q$4:$Q$675)))=$K$4),3),0)),""))</f>
        <v/>
      </c>
      <c r="I25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ORDERS'!$Q$4:$Q$675)))=$K$4),3),0)),""))</f>
        <v/>
      </c>
      <c r="J25" s="86" t="str">
        <f ca="1">IF(IFERROR(_xludf.aggregate(15,6,(ROW('📋 ORDERS'!$B$4:$B$675)-3)/(IF($B$4="SKF Order",'📋 ORDERS'!$C$4:$C$675,IF($B$4="TATA Order",'📋 ORDERS'!$D$4:$D$675,IF($B$4="Vulcan PO",'📋 ORDERS'!$E$4:$E$675,'📋 ORDERS'!$Q$4:$Q$675)))=$K$4),3),0)=0,"",IFERROR(INDEX('📋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ORDERS'!$Q$4:$Q$675)))=$K$4),3),0)),""))</f>
        <v/>
      </c>
    </row>
    <row r="26" spans="2:10" ht="15.75" hidden="1" customHeight="1" x14ac:dyDescent="0.35">
      <c r="B26" s="87" t="str">
        <f ca="1">IF(IFERROR(_xludf.aggregate(15,6,(ROW('📋 ORDERS'!$B$4:$B$675)-3)/(IF($B$4="SKF Order",'📋 ORDERS'!$C$4:$C$675,IF($B$4="TATA Order",'📋 ORDERS'!$D$4:$D$675,IF($B$4="Vulcan PO",'📋 ORDERS'!$E$4:$E$675,'📋 ORDERS'!$Q$4:$Q$675)))=$K$4),4),0)=0,"",4)</f>
        <v/>
      </c>
      <c r="C26" s="88" t="str">
        <f ca="1">IF(IFERROR(_xludf.aggregate(15,6,(ROW('📋 ORDERS'!$B$4:$B$675)-3)/(IF($B$4="SKF Order",'📋 ORDERS'!$C$4:$C$675,IF($B$4="TATA Order",'📋 ORDERS'!$D$4:$D$675,IF($B$4="Vulcan PO",'📋 ORDERS'!$E$4:$E$675,'📋 ORDERS'!$Q$4:$Q$675)))=$K$4),4),0)=0,"",IFERROR(INDEX('📋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ORDERS'!$Q$4:$Q$675)))=$K$4),4),0)),""))</f>
        <v/>
      </c>
      <c r="D26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ORDERS'!$Q$4:$Q$675)))=$K$4),4),0)=0,"",IFERROR(INDEX('📋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ORDERS'!$Q$4:$Q$675)))=$K$4),4),0)),""))</f>
        <v/>
      </c>
      <c r="E26" s="204"/>
      <c r="F26" s="89" t="str">
        <f ca="1">IF(IFERROR(_xludf.aggregate(15,6,(ROW('📋 ORDERS'!$B$4:$B$675)-3)/(IF($B$4="SKF Order",'📋 ORDERS'!$C$4:$C$675,IF($B$4="TATA Order",'📋 ORDERS'!$D$4:$D$675,IF($B$4="Vulcan PO",'📋 ORDERS'!$E$4:$E$675,'📋 ORDERS'!$Q$4:$Q$675)))=$K$4),4),0)=0,"",IFERROR(INDEX('📋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ORDERS'!$Q$4:$Q$675)))=$K$4),4),0)),""))</f>
        <v/>
      </c>
      <c r="G26" s="90" t="str">
        <f ca="1">IF(IFERROR(_xludf.aggregate(15,6,(ROW('📋 ORDERS'!$B$4:$B$675)-3)/(IF($B$4="SKF Order",'📋 ORDERS'!$C$4:$C$675,IF($B$4="TATA Order",'📋 ORDERS'!$D$4:$D$675,IF($B$4="Vulcan PO",'📋 ORDERS'!$E$4:$E$675,'📋 ORDERS'!$Q$4:$Q$675)))=$K$4),4),0)=0,"",IFERROR(INDEX('📋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ORDERS'!$Q$4:$Q$675)))=$K$4),4),0)),""))</f>
        <v/>
      </c>
      <c r="H26" s="91" t="str">
        <f ca="1">IF(IFERROR(_xludf.aggregate(15,6,(ROW('📋 ORDERS'!$B$4:$B$675)-3)/(IF($B$4="SKF Order",'📋 ORDERS'!$C$4:$C$675,IF($B$4="TATA Order",'📋 ORDERS'!$D$4:$D$675,IF($B$4="Vulcan PO",'📋 ORDERS'!$E$4:$E$675,'📋 ORDERS'!$Q$4:$Q$675)))=$K$4),4),0)=0,"",IFERROR(INDEX('📋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ORDERS'!$Q$4:$Q$675)))=$K$4),4),0)),""))</f>
        <v/>
      </c>
      <c r="I26" s="87" t="str">
        <f ca="1">IF(IFERROR(_xludf.aggregate(15,6,(ROW('📋 ORDERS'!$B$4:$B$675)-3)/(IF($B$4="SKF Order",'📋 ORDERS'!$C$4:$C$675,IF($B$4="TATA Order",'📋 ORDERS'!$D$4:$D$675,IF($B$4="Vulcan PO",'📋 ORDERS'!$E$4:$E$675,'📋 ORDERS'!$Q$4:$Q$675)))=$K$4),4),0)=0,"",IFERROR(INDEX('📋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ORDERS'!$Q$4:$Q$675)))=$K$4),4),0)),""))</f>
        <v/>
      </c>
      <c r="J26" s="92" t="str">
        <f ca="1">IF(IFERROR(_xludf.aggregate(15,6,(ROW('📋 ORDERS'!$B$4:$B$675)-3)/(IF($B$4="SKF Order",'📋 ORDERS'!$C$4:$C$675,IF($B$4="TATA Order",'📋 ORDERS'!$D$4:$D$675,IF($B$4="Vulcan PO",'📋 ORDERS'!$E$4:$E$675,'📋 ORDERS'!$Q$4:$Q$675)))=$K$4),4),0)=0,"",IFERROR(INDEX('📋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ORDERS'!$Q$4:$Q$675)))=$K$4),4),0)),""))</f>
        <v/>
      </c>
    </row>
    <row r="27" spans="2:10" ht="15.75" hidden="1" customHeight="1" x14ac:dyDescent="0.35">
      <c r="B27" s="81" t="str">
        <f ca="1">IF(IFERROR(_xludf.aggregate(15,6,(ROW('📋 ORDERS'!$B$4:$B$675)-3)/(IF($B$4="SKF Order",'📋 ORDERS'!$C$4:$C$675,IF($B$4="TATA Order",'📋 ORDERS'!$D$4:$D$675,IF($B$4="Vulcan PO",'📋 ORDERS'!$E$4:$E$675,'📋 ORDERS'!$Q$4:$Q$675)))=$K$4),5),0)=0,"",5)</f>
        <v/>
      </c>
      <c r="C27" s="82" t="str">
        <f ca="1">IF(IFERROR(_xludf.aggregate(15,6,(ROW('📋 ORDERS'!$B$4:$B$675)-3)/(IF($B$4="SKF Order",'📋 ORDERS'!$C$4:$C$675,IF($B$4="TATA Order",'📋 ORDERS'!$D$4:$D$675,IF($B$4="Vulcan PO",'📋 ORDERS'!$E$4:$E$675,'📋 ORDERS'!$Q$4:$Q$675)))=$K$4),5),0)=0,"",IFERROR(INDEX('📋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ORDERS'!$Q$4:$Q$675)))=$K$4),5),0)),""))</f>
        <v/>
      </c>
      <c r="D27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ORDERS'!$Q$4:$Q$675)))=$K$4),5),0)=0,"",IFERROR(INDEX('📋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ORDERS'!$Q$4:$Q$675)))=$K$4),5),0)),""))</f>
        <v/>
      </c>
      <c r="E27" s="203"/>
      <c r="F27" s="83" t="str">
        <f ca="1">IF(IFERROR(_xludf.aggregate(15,6,(ROW('📋 ORDERS'!$B$4:$B$675)-3)/(IF($B$4="SKF Order",'📋 ORDERS'!$C$4:$C$675,IF($B$4="TATA Order",'📋 ORDERS'!$D$4:$D$675,IF($B$4="Vulcan PO",'📋 ORDERS'!$E$4:$E$675,'📋 ORDERS'!$Q$4:$Q$675)))=$K$4),5),0)=0,"",IFERROR(INDEX('📋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ORDERS'!$Q$4:$Q$675)))=$K$4),5),0)),""))</f>
        <v/>
      </c>
      <c r="G27" s="84" t="str">
        <f ca="1">IF(IFERROR(_xludf.aggregate(15,6,(ROW('📋 ORDERS'!$B$4:$B$675)-3)/(IF($B$4="SKF Order",'📋 ORDERS'!$C$4:$C$675,IF($B$4="TATA Order",'📋 ORDERS'!$D$4:$D$675,IF($B$4="Vulcan PO",'📋 ORDERS'!$E$4:$E$675,'📋 ORDERS'!$Q$4:$Q$675)))=$K$4),5),0)=0,"",IFERROR(INDEX('📋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ORDERS'!$Q$4:$Q$675)))=$K$4),5),0)),""))</f>
        <v/>
      </c>
      <c r="H27" s="85" t="str">
        <f ca="1">IF(IFERROR(_xludf.aggregate(15,6,(ROW('📋 ORDERS'!$B$4:$B$675)-3)/(IF($B$4="SKF Order",'📋 ORDERS'!$C$4:$C$675,IF($B$4="TATA Order",'📋 ORDERS'!$D$4:$D$675,IF($B$4="Vulcan PO",'📋 ORDERS'!$E$4:$E$675,'📋 ORDERS'!$Q$4:$Q$675)))=$K$4),5),0)=0,"",IFERROR(INDEX('📋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ORDERS'!$Q$4:$Q$675)))=$K$4),5),0)),""))</f>
        <v/>
      </c>
      <c r="I27" s="81" t="str">
        <f ca="1">IF(IFERROR(_xludf.aggregate(15,6,(ROW('📋 ORDERS'!$B$4:$B$675)-3)/(IF($B$4="SKF Order",'📋 ORDERS'!$C$4:$C$675,IF($B$4="TATA Order",'📋 ORDERS'!$D$4:$D$675,IF($B$4="Vulcan PO",'📋 ORDERS'!$E$4:$E$675,'📋 ORDERS'!$Q$4:$Q$675)))=$K$4),5),0)=0,"",IFERROR(INDEX('📋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ORDERS'!$Q$4:$Q$675)))=$K$4),5),0)),""))</f>
        <v/>
      </c>
      <c r="J27" s="86" t="str">
        <f ca="1">IF(IFERROR(_xludf.aggregate(15,6,(ROW('📋 ORDERS'!$B$4:$B$675)-3)/(IF($B$4="SKF Order",'📋 ORDERS'!$C$4:$C$675,IF($B$4="TATA Order",'📋 ORDERS'!$D$4:$D$675,IF($B$4="Vulcan PO",'📋 ORDERS'!$E$4:$E$675,'📋 ORDERS'!$Q$4:$Q$675)))=$K$4),5),0)=0,"",IFERROR(INDEX('📋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ORDERS'!$Q$4:$Q$675)))=$K$4),5),0)),""))</f>
        <v/>
      </c>
    </row>
    <row r="28" spans="2:10" ht="15.75" hidden="1" customHeight="1" x14ac:dyDescent="0.35">
      <c r="B28" s="87" t="str">
        <f ca="1">IF(IFERROR(_xludf.aggregate(15,6,(ROW('📋 ORDERS'!$B$4:$B$675)-3)/(IF($B$4="SKF Order",'📋 ORDERS'!$C$4:$C$675,IF($B$4="TATA Order",'📋 ORDERS'!$D$4:$D$675,IF($B$4="Vulcan PO",'📋 ORDERS'!$E$4:$E$675,'📋 ORDERS'!$Q$4:$Q$675)))=$K$4),6),0)=0,"",6)</f>
        <v/>
      </c>
      <c r="C28" s="88" t="str">
        <f ca="1">IF(IFERROR(_xludf.aggregate(15,6,(ROW('📋 ORDERS'!$B$4:$B$675)-3)/(IF($B$4="SKF Order",'📋 ORDERS'!$C$4:$C$675,IF($B$4="TATA Order",'📋 ORDERS'!$D$4:$D$675,IF($B$4="Vulcan PO",'📋 ORDERS'!$E$4:$E$675,'📋 ORDERS'!$Q$4:$Q$675)))=$K$4),6),0)=0,"",IFERROR(INDEX('📋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ORDERS'!$Q$4:$Q$675)))=$K$4),6),0)),""))</f>
        <v/>
      </c>
      <c r="D28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ORDERS'!$Q$4:$Q$675)))=$K$4),6),0)=0,"",IFERROR(INDEX('📋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ORDERS'!$Q$4:$Q$675)))=$K$4),6),0)),""))</f>
        <v/>
      </c>
      <c r="E28" s="204"/>
      <c r="F28" s="89" t="str">
        <f ca="1">IF(IFERROR(_xludf.aggregate(15,6,(ROW('📋 ORDERS'!$B$4:$B$675)-3)/(IF($B$4="SKF Order",'📋 ORDERS'!$C$4:$C$675,IF($B$4="TATA Order",'📋 ORDERS'!$D$4:$D$675,IF($B$4="Vulcan PO",'📋 ORDERS'!$E$4:$E$675,'📋 ORDERS'!$Q$4:$Q$675)))=$K$4),6),0)=0,"",IFERROR(INDEX('📋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ORDERS'!$Q$4:$Q$675)))=$K$4),6),0)),""))</f>
        <v/>
      </c>
      <c r="G28" s="90" t="str">
        <f ca="1">IF(IFERROR(_xludf.aggregate(15,6,(ROW('📋 ORDERS'!$B$4:$B$675)-3)/(IF($B$4="SKF Order",'📋 ORDERS'!$C$4:$C$675,IF($B$4="TATA Order",'📋 ORDERS'!$D$4:$D$675,IF($B$4="Vulcan PO",'📋 ORDERS'!$E$4:$E$675,'📋 ORDERS'!$Q$4:$Q$675)))=$K$4),6),0)=0,"",IFERROR(INDEX('📋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ORDERS'!$Q$4:$Q$675)))=$K$4),6),0)),""))</f>
        <v/>
      </c>
      <c r="H28" s="91" t="str">
        <f ca="1">IF(IFERROR(_xludf.aggregate(15,6,(ROW('📋 ORDERS'!$B$4:$B$675)-3)/(IF($B$4="SKF Order",'📋 ORDERS'!$C$4:$C$675,IF($B$4="TATA Order",'📋 ORDERS'!$D$4:$D$675,IF($B$4="Vulcan PO",'📋 ORDERS'!$E$4:$E$675,'📋 ORDERS'!$Q$4:$Q$675)))=$K$4),6),0)=0,"",IFERROR(INDEX('📋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ORDERS'!$Q$4:$Q$675)))=$K$4),6),0)),""))</f>
        <v/>
      </c>
      <c r="I28" s="87" t="str">
        <f ca="1">IF(IFERROR(_xludf.aggregate(15,6,(ROW('📋 ORDERS'!$B$4:$B$675)-3)/(IF($B$4="SKF Order",'📋 ORDERS'!$C$4:$C$675,IF($B$4="TATA Order",'📋 ORDERS'!$D$4:$D$675,IF($B$4="Vulcan PO",'📋 ORDERS'!$E$4:$E$675,'📋 ORDERS'!$Q$4:$Q$675)))=$K$4),6),0)=0,"",IFERROR(INDEX('📋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ORDERS'!$Q$4:$Q$675)))=$K$4),6),0)),""))</f>
        <v/>
      </c>
      <c r="J28" s="92" t="str">
        <f ca="1">IF(IFERROR(_xludf.aggregate(15,6,(ROW('📋 ORDERS'!$B$4:$B$675)-3)/(IF($B$4="SKF Order",'📋 ORDERS'!$C$4:$C$675,IF($B$4="TATA Order",'📋 ORDERS'!$D$4:$D$675,IF($B$4="Vulcan PO",'📋 ORDERS'!$E$4:$E$675,'📋 ORDERS'!$Q$4:$Q$675)))=$K$4),6),0)=0,"",IFERROR(INDEX('📋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ORDERS'!$Q$4:$Q$675)))=$K$4),6),0)),""))</f>
        <v/>
      </c>
    </row>
    <row r="29" spans="2:10" ht="15.75" hidden="1" customHeight="1" x14ac:dyDescent="0.35">
      <c r="B29" s="81" t="str">
        <f ca="1">IF(IFERROR(_xludf.aggregate(15,6,(ROW('📋 ORDERS'!$B$4:$B$675)-3)/(IF($B$4="SKF Order",'📋 ORDERS'!$C$4:$C$675,IF($B$4="TATA Order",'📋 ORDERS'!$D$4:$D$675,IF($B$4="Vulcan PO",'📋 ORDERS'!$E$4:$E$675,'📋 ORDERS'!$Q$4:$Q$675)))=$K$4),7),0)=0,"",7)</f>
        <v/>
      </c>
      <c r="C29" s="82" t="str">
        <f ca="1">IF(IFERROR(_xludf.aggregate(15,6,(ROW('📋 ORDERS'!$B$4:$B$675)-3)/(IF($B$4="SKF Order",'📋 ORDERS'!$C$4:$C$675,IF($B$4="TATA Order",'📋 ORDERS'!$D$4:$D$675,IF($B$4="Vulcan PO",'📋 ORDERS'!$E$4:$E$675,'📋 ORDERS'!$Q$4:$Q$675)))=$K$4),7),0)=0,"",IFERROR(INDEX('📋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ORDERS'!$Q$4:$Q$675)))=$K$4),7),0)),""))</f>
        <v/>
      </c>
      <c r="D29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ORDERS'!$Q$4:$Q$675)))=$K$4),7),0)=0,"",IFERROR(INDEX('📋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ORDERS'!$Q$4:$Q$675)))=$K$4),7),0)),""))</f>
        <v/>
      </c>
      <c r="E29" s="203"/>
      <c r="F29" s="83" t="str">
        <f ca="1">IF(IFERROR(_xludf.aggregate(15,6,(ROW('📋 ORDERS'!$B$4:$B$675)-3)/(IF($B$4="SKF Order",'📋 ORDERS'!$C$4:$C$675,IF($B$4="TATA Order",'📋 ORDERS'!$D$4:$D$675,IF($B$4="Vulcan PO",'📋 ORDERS'!$E$4:$E$675,'📋 ORDERS'!$Q$4:$Q$675)))=$K$4),7),0)=0,"",IFERROR(INDEX('📋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ORDERS'!$Q$4:$Q$675)))=$K$4),7),0)),""))</f>
        <v/>
      </c>
      <c r="G29" s="84" t="str">
        <f ca="1">IF(IFERROR(_xludf.aggregate(15,6,(ROW('📋 ORDERS'!$B$4:$B$675)-3)/(IF($B$4="SKF Order",'📋 ORDERS'!$C$4:$C$675,IF($B$4="TATA Order",'📋 ORDERS'!$D$4:$D$675,IF($B$4="Vulcan PO",'📋 ORDERS'!$E$4:$E$675,'📋 ORDERS'!$Q$4:$Q$675)))=$K$4),7),0)=0,"",IFERROR(INDEX('📋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ORDERS'!$Q$4:$Q$675)))=$K$4),7),0)),""))</f>
        <v/>
      </c>
      <c r="H29" s="85" t="str">
        <f ca="1">IF(IFERROR(_xludf.aggregate(15,6,(ROW('📋 ORDERS'!$B$4:$B$675)-3)/(IF($B$4="SKF Order",'📋 ORDERS'!$C$4:$C$675,IF($B$4="TATA Order",'📋 ORDERS'!$D$4:$D$675,IF($B$4="Vulcan PO",'📋 ORDERS'!$E$4:$E$675,'📋 ORDERS'!$Q$4:$Q$675)))=$K$4),7),0)=0,"",IFERROR(INDEX('📋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ORDERS'!$Q$4:$Q$675)))=$K$4),7),0)),""))</f>
        <v/>
      </c>
      <c r="I29" s="81" t="str">
        <f ca="1">IF(IFERROR(_xludf.aggregate(15,6,(ROW('📋 ORDERS'!$B$4:$B$675)-3)/(IF($B$4="SKF Order",'📋 ORDERS'!$C$4:$C$675,IF($B$4="TATA Order",'📋 ORDERS'!$D$4:$D$675,IF($B$4="Vulcan PO",'📋 ORDERS'!$E$4:$E$675,'📋 ORDERS'!$Q$4:$Q$675)))=$K$4),7),0)=0,"",IFERROR(INDEX('📋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ORDERS'!$Q$4:$Q$675)))=$K$4),7),0)),""))</f>
        <v/>
      </c>
      <c r="J29" s="86" t="str">
        <f ca="1">IF(IFERROR(_xludf.aggregate(15,6,(ROW('📋 ORDERS'!$B$4:$B$675)-3)/(IF($B$4="SKF Order",'📋 ORDERS'!$C$4:$C$675,IF($B$4="TATA Order",'📋 ORDERS'!$D$4:$D$675,IF($B$4="Vulcan PO",'📋 ORDERS'!$E$4:$E$675,'📋 ORDERS'!$Q$4:$Q$675)))=$K$4),7),0)=0,"",IFERROR(INDEX('📋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ORDERS'!$Q$4:$Q$675)))=$K$4),7),0)),""))</f>
        <v/>
      </c>
    </row>
    <row r="30" spans="2:10" ht="15.75" hidden="1" customHeight="1" x14ac:dyDescent="0.35">
      <c r="B30" s="87" t="str">
        <f ca="1">IF(IFERROR(_xludf.aggregate(15,6,(ROW('📋 ORDERS'!$B$4:$B$675)-3)/(IF($B$4="SKF Order",'📋 ORDERS'!$C$4:$C$675,IF($B$4="TATA Order",'📋 ORDERS'!$D$4:$D$675,IF($B$4="Vulcan PO",'📋 ORDERS'!$E$4:$E$675,'📋 ORDERS'!$Q$4:$Q$675)))=$K$4),8),0)=0,"",8)</f>
        <v/>
      </c>
      <c r="C30" s="88" t="str">
        <f ca="1">IF(IFERROR(_xludf.aggregate(15,6,(ROW('📋 ORDERS'!$B$4:$B$675)-3)/(IF($B$4="SKF Order",'📋 ORDERS'!$C$4:$C$675,IF($B$4="TATA Order",'📋 ORDERS'!$D$4:$D$675,IF($B$4="Vulcan PO",'📋 ORDERS'!$E$4:$E$675,'📋 ORDERS'!$Q$4:$Q$675)))=$K$4),8),0)=0,"",IFERROR(INDEX('📋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ORDERS'!$Q$4:$Q$675)))=$K$4),8),0)),""))</f>
        <v/>
      </c>
      <c r="D30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ORDERS'!$Q$4:$Q$675)))=$K$4),8),0)=0,"",IFERROR(INDEX('📋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ORDERS'!$Q$4:$Q$675)))=$K$4),8),0)),""))</f>
        <v/>
      </c>
      <c r="E30" s="204"/>
      <c r="F30" s="89" t="str">
        <f ca="1">IF(IFERROR(_xludf.aggregate(15,6,(ROW('📋 ORDERS'!$B$4:$B$675)-3)/(IF($B$4="SKF Order",'📋 ORDERS'!$C$4:$C$675,IF($B$4="TATA Order",'📋 ORDERS'!$D$4:$D$675,IF($B$4="Vulcan PO",'📋 ORDERS'!$E$4:$E$675,'📋 ORDERS'!$Q$4:$Q$675)))=$K$4),8),0)=0,"",IFERROR(INDEX('📋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ORDERS'!$Q$4:$Q$675)))=$K$4),8),0)),""))</f>
        <v/>
      </c>
      <c r="G30" s="90" t="str">
        <f ca="1">IF(IFERROR(_xludf.aggregate(15,6,(ROW('📋 ORDERS'!$B$4:$B$675)-3)/(IF($B$4="SKF Order",'📋 ORDERS'!$C$4:$C$675,IF($B$4="TATA Order",'📋 ORDERS'!$D$4:$D$675,IF($B$4="Vulcan PO",'📋 ORDERS'!$E$4:$E$675,'📋 ORDERS'!$Q$4:$Q$675)))=$K$4),8),0)=0,"",IFERROR(INDEX('📋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ORDERS'!$Q$4:$Q$675)))=$K$4),8),0)),""))</f>
        <v/>
      </c>
      <c r="H30" s="91" t="str">
        <f ca="1">IF(IFERROR(_xludf.aggregate(15,6,(ROW('📋 ORDERS'!$B$4:$B$675)-3)/(IF($B$4="SKF Order",'📋 ORDERS'!$C$4:$C$675,IF($B$4="TATA Order",'📋 ORDERS'!$D$4:$D$675,IF($B$4="Vulcan PO",'📋 ORDERS'!$E$4:$E$675,'📋 ORDERS'!$Q$4:$Q$675)))=$K$4),8),0)=0,"",IFERROR(INDEX('📋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ORDERS'!$Q$4:$Q$675)))=$K$4),8),0)),""))</f>
        <v/>
      </c>
      <c r="I30" s="87" t="str">
        <f ca="1">IF(IFERROR(_xludf.aggregate(15,6,(ROW('📋 ORDERS'!$B$4:$B$675)-3)/(IF($B$4="SKF Order",'📋 ORDERS'!$C$4:$C$675,IF($B$4="TATA Order",'📋 ORDERS'!$D$4:$D$675,IF($B$4="Vulcan PO",'📋 ORDERS'!$E$4:$E$675,'📋 ORDERS'!$Q$4:$Q$675)))=$K$4),8),0)=0,"",IFERROR(INDEX('📋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ORDERS'!$Q$4:$Q$675)))=$K$4),8),0)),""))</f>
        <v/>
      </c>
      <c r="J30" s="92" t="str">
        <f ca="1">IF(IFERROR(_xludf.aggregate(15,6,(ROW('📋 ORDERS'!$B$4:$B$675)-3)/(IF($B$4="SKF Order",'📋 ORDERS'!$C$4:$C$675,IF($B$4="TATA Order",'📋 ORDERS'!$D$4:$D$675,IF($B$4="Vulcan PO",'📋 ORDERS'!$E$4:$E$675,'📋 ORDERS'!$Q$4:$Q$675)))=$K$4),8),0)=0,"",IFERROR(INDEX('📋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ORDERS'!$Q$4:$Q$675)))=$K$4),8),0)),""))</f>
        <v/>
      </c>
    </row>
    <row r="31" spans="2:10" ht="15.75" hidden="1" customHeight="1" x14ac:dyDescent="0.35">
      <c r="B31" s="81" t="str">
        <f ca="1">IF(IFERROR(_xludf.aggregate(15,6,(ROW('📋 ORDERS'!$B$4:$B$675)-3)/(IF($B$4="SKF Order",'📋 ORDERS'!$C$4:$C$675,IF($B$4="TATA Order",'📋 ORDERS'!$D$4:$D$675,IF($B$4="Vulcan PO",'📋 ORDERS'!$E$4:$E$675,'📋 ORDERS'!$Q$4:$Q$675)))=$K$4),9),0)=0,"",9)</f>
        <v/>
      </c>
      <c r="C31" s="82" t="str">
        <f ca="1">IF(IFERROR(_xludf.aggregate(15,6,(ROW('📋 ORDERS'!$B$4:$B$675)-3)/(IF($B$4="SKF Order",'📋 ORDERS'!$C$4:$C$675,IF($B$4="TATA Order",'📋 ORDERS'!$D$4:$D$675,IF($B$4="Vulcan PO",'📋 ORDERS'!$E$4:$E$675,'📋 ORDERS'!$Q$4:$Q$675)))=$K$4),9),0)=0,"",IFERROR(INDEX('📋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ORDERS'!$Q$4:$Q$675)))=$K$4),9),0)),""))</f>
        <v/>
      </c>
      <c r="D31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ORDERS'!$Q$4:$Q$675)))=$K$4),9),0)=0,"",IFERROR(INDEX('📋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ORDERS'!$Q$4:$Q$675)))=$K$4),9),0)),""))</f>
        <v/>
      </c>
      <c r="E31" s="203"/>
      <c r="F31" s="83" t="str">
        <f ca="1">IF(IFERROR(_xludf.aggregate(15,6,(ROW('📋 ORDERS'!$B$4:$B$675)-3)/(IF($B$4="SKF Order",'📋 ORDERS'!$C$4:$C$675,IF($B$4="TATA Order",'📋 ORDERS'!$D$4:$D$675,IF($B$4="Vulcan PO",'📋 ORDERS'!$E$4:$E$675,'📋 ORDERS'!$Q$4:$Q$675)))=$K$4),9),0)=0,"",IFERROR(INDEX('📋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ORDERS'!$Q$4:$Q$675)))=$K$4),9),0)),""))</f>
        <v/>
      </c>
      <c r="G31" s="84" t="str">
        <f ca="1">IF(IFERROR(_xludf.aggregate(15,6,(ROW('📋 ORDERS'!$B$4:$B$675)-3)/(IF($B$4="SKF Order",'📋 ORDERS'!$C$4:$C$675,IF($B$4="TATA Order",'📋 ORDERS'!$D$4:$D$675,IF($B$4="Vulcan PO",'📋 ORDERS'!$E$4:$E$675,'📋 ORDERS'!$Q$4:$Q$675)))=$K$4),9),0)=0,"",IFERROR(INDEX('📋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ORDERS'!$Q$4:$Q$675)))=$K$4),9),0)),""))</f>
        <v/>
      </c>
      <c r="H31" s="85" t="str">
        <f ca="1">IF(IFERROR(_xludf.aggregate(15,6,(ROW('📋 ORDERS'!$B$4:$B$675)-3)/(IF($B$4="SKF Order",'📋 ORDERS'!$C$4:$C$675,IF($B$4="TATA Order",'📋 ORDERS'!$D$4:$D$675,IF($B$4="Vulcan PO",'📋 ORDERS'!$E$4:$E$675,'📋 ORDERS'!$Q$4:$Q$675)))=$K$4),9),0)=0,"",IFERROR(INDEX('📋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ORDERS'!$Q$4:$Q$675)))=$K$4),9),0)),""))</f>
        <v/>
      </c>
      <c r="I31" s="81" t="str">
        <f ca="1">IF(IFERROR(_xludf.aggregate(15,6,(ROW('📋 ORDERS'!$B$4:$B$675)-3)/(IF($B$4="SKF Order",'📋 ORDERS'!$C$4:$C$675,IF($B$4="TATA Order",'📋 ORDERS'!$D$4:$D$675,IF($B$4="Vulcan PO",'📋 ORDERS'!$E$4:$E$675,'📋 ORDERS'!$Q$4:$Q$675)))=$K$4),9),0)=0,"",IFERROR(INDEX('📋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ORDERS'!$Q$4:$Q$675)))=$K$4),9),0)),""))</f>
        <v/>
      </c>
      <c r="J31" s="86" t="str">
        <f ca="1">IF(IFERROR(_xludf.aggregate(15,6,(ROW('📋 ORDERS'!$B$4:$B$675)-3)/(IF($B$4="SKF Order",'📋 ORDERS'!$C$4:$C$675,IF($B$4="TATA Order",'📋 ORDERS'!$D$4:$D$675,IF($B$4="Vulcan PO",'📋 ORDERS'!$E$4:$E$675,'📋 ORDERS'!$Q$4:$Q$675)))=$K$4),9),0)=0,"",IFERROR(INDEX('📋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ORDERS'!$Q$4:$Q$675)))=$K$4),9),0)),""))</f>
        <v/>
      </c>
    </row>
    <row r="32" spans="2:10" ht="15.75" hidden="1" customHeight="1" x14ac:dyDescent="0.35">
      <c r="B32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ORDERS'!$Q$4:$Q$675)))=$K$4),10),0)=0,"",10)</f>
        <v/>
      </c>
      <c r="C32" s="88" t="str">
        <f ca="1">IF(IFERROR(_xludf.aggregate(15,6,(ROW('📋 ORDERS'!$B$4:$B$675)-3)/(IF($B$4="SKF Order",'📋 ORDERS'!$C$4:$C$675,IF($B$4="TATA Order",'📋 ORDERS'!$D$4:$D$675,IF($B$4="Vulcan PO",'📋 ORDERS'!$E$4:$E$675,'📋 ORDERS'!$Q$4:$Q$675)))=$K$4),10),0)=0,"",IFERROR(INDEX('📋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ORDERS'!$Q$4:$Q$675)))=$K$4),10),0)),""))</f>
        <v/>
      </c>
      <c r="D32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ORDERS'!$Q$4:$Q$675)))=$K$4),10),0)=0,"",IFERROR(INDEX('📋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ORDERS'!$Q$4:$Q$675)))=$K$4),10),0)),""))</f>
        <v/>
      </c>
      <c r="E32" s="204"/>
      <c r="F32" s="89" t="str">
        <f ca="1">IF(IFERROR(_xludf.aggregate(15,6,(ROW('📋 ORDERS'!$B$4:$B$675)-3)/(IF($B$4="SKF Order",'📋 ORDERS'!$C$4:$C$675,IF($B$4="TATA Order",'📋 ORDERS'!$D$4:$D$675,IF($B$4="Vulcan PO",'📋 ORDERS'!$E$4:$E$675,'📋 ORDERS'!$Q$4:$Q$675)))=$K$4),10),0)=0,"",IFERROR(INDEX('📋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ORDERS'!$Q$4:$Q$675)))=$K$4),10),0)),""))</f>
        <v/>
      </c>
      <c r="G32" s="90" t="str">
        <f ca="1">IF(IFERROR(_xludf.aggregate(15,6,(ROW('📋 ORDERS'!$B$4:$B$675)-3)/(IF($B$4="SKF Order",'📋 ORDERS'!$C$4:$C$675,IF($B$4="TATA Order",'📋 ORDERS'!$D$4:$D$675,IF($B$4="Vulcan PO",'📋 ORDERS'!$E$4:$E$675,'📋 ORDERS'!$Q$4:$Q$675)))=$K$4),10),0)=0,"",IFERROR(INDEX('📋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ORDERS'!$Q$4:$Q$675)))=$K$4),10),0)),""))</f>
        <v/>
      </c>
      <c r="H32" s="91" t="str">
        <f ca="1">IF(IFERROR(_xludf.aggregate(15,6,(ROW('📋 ORDERS'!$B$4:$B$675)-3)/(IF($B$4="SKF Order",'📋 ORDERS'!$C$4:$C$675,IF($B$4="TATA Order",'📋 ORDERS'!$D$4:$D$675,IF($B$4="Vulcan PO",'📋 ORDERS'!$E$4:$E$675,'📋 ORDERS'!$Q$4:$Q$675)))=$K$4),10),0)=0,"",IFERROR(INDEX('📋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ORDERS'!$Q$4:$Q$675)))=$K$4),10),0)),""))</f>
        <v/>
      </c>
      <c r="I32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ORDERS'!$Q$4:$Q$675)))=$K$4),10),0)=0,"",IFERROR(INDEX('📋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ORDERS'!$Q$4:$Q$675)))=$K$4),10),0)),""))</f>
        <v/>
      </c>
      <c r="J32" s="92" t="str">
        <f ca="1">IF(IFERROR(_xludf.aggregate(15,6,(ROW('📋 ORDERS'!$B$4:$B$675)-3)/(IF($B$4="SKF Order",'📋 ORDERS'!$C$4:$C$675,IF($B$4="TATA Order",'📋 ORDERS'!$D$4:$D$675,IF($B$4="Vulcan PO",'📋 ORDERS'!$E$4:$E$675,'📋 ORDERS'!$Q$4:$Q$675)))=$K$4),10),0)=0,"",IFERROR(INDEX('📋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ORDERS'!$Q$4:$Q$675)))=$K$4),10),0)),""))</f>
        <v/>
      </c>
    </row>
    <row r="33" spans="2:10" ht="15.75" hidden="1" customHeight="1" x14ac:dyDescent="0.35">
      <c r="B33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ORDERS'!$Q$4:$Q$675)))=$K$4),11),0)=0,"",11)</f>
        <v/>
      </c>
      <c r="C33" s="82" t="str">
        <f ca="1">IF(IFERROR(_xludf.aggregate(15,6,(ROW('📋 ORDERS'!$B$4:$B$675)-3)/(IF($B$4="SKF Order",'📋 ORDERS'!$C$4:$C$675,IF($B$4="TATA Order",'📋 ORDERS'!$D$4:$D$675,IF($B$4="Vulcan PO",'📋 ORDERS'!$E$4:$E$675,'📋 ORDERS'!$Q$4:$Q$675)))=$K$4),11),0)=0,"",IFERROR(INDEX('📋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ORDERS'!$Q$4:$Q$675)))=$K$4),11),0)),""))</f>
        <v/>
      </c>
      <c r="D33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ORDERS'!$Q$4:$Q$675)))=$K$4),11),0)=0,"",IFERROR(INDEX('📋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ORDERS'!$Q$4:$Q$675)))=$K$4),11),0)),""))</f>
        <v/>
      </c>
      <c r="E33" s="203"/>
      <c r="F33" s="83" t="str">
        <f ca="1">IF(IFERROR(_xludf.aggregate(15,6,(ROW('📋 ORDERS'!$B$4:$B$675)-3)/(IF($B$4="SKF Order",'📋 ORDERS'!$C$4:$C$675,IF($B$4="TATA Order",'📋 ORDERS'!$D$4:$D$675,IF($B$4="Vulcan PO",'📋 ORDERS'!$E$4:$E$675,'📋 ORDERS'!$Q$4:$Q$675)))=$K$4),11),0)=0,"",IFERROR(INDEX('📋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ORDERS'!$Q$4:$Q$675)))=$K$4),11),0)),""))</f>
        <v/>
      </c>
      <c r="G33" s="84" t="str">
        <f ca="1">IF(IFERROR(_xludf.aggregate(15,6,(ROW('📋 ORDERS'!$B$4:$B$675)-3)/(IF($B$4="SKF Order",'📋 ORDERS'!$C$4:$C$675,IF($B$4="TATA Order",'📋 ORDERS'!$D$4:$D$675,IF($B$4="Vulcan PO",'📋 ORDERS'!$E$4:$E$675,'📋 ORDERS'!$Q$4:$Q$675)))=$K$4),11),0)=0,"",IFERROR(INDEX('📋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ORDERS'!$Q$4:$Q$675)))=$K$4),11),0)),""))</f>
        <v/>
      </c>
      <c r="H33" s="85" t="str">
        <f ca="1">IF(IFERROR(_xludf.aggregate(15,6,(ROW('📋 ORDERS'!$B$4:$B$675)-3)/(IF($B$4="SKF Order",'📋 ORDERS'!$C$4:$C$675,IF($B$4="TATA Order",'📋 ORDERS'!$D$4:$D$675,IF($B$4="Vulcan PO",'📋 ORDERS'!$E$4:$E$675,'📋 ORDERS'!$Q$4:$Q$675)))=$K$4),11),0)=0,"",IFERROR(INDEX('📋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ORDERS'!$Q$4:$Q$675)))=$K$4),11),0)),""))</f>
        <v/>
      </c>
      <c r="I33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ORDERS'!$Q$4:$Q$675)))=$K$4),11),0)=0,"",IFERROR(INDEX('📋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ORDERS'!$Q$4:$Q$675)))=$K$4),11),0)),""))</f>
        <v/>
      </c>
      <c r="J33" s="86" t="str">
        <f ca="1">IF(IFERROR(_xludf.aggregate(15,6,(ROW('📋 ORDERS'!$B$4:$B$675)-3)/(IF($B$4="SKF Order",'📋 ORDERS'!$C$4:$C$675,IF($B$4="TATA Order",'📋 ORDERS'!$D$4:$D$675,IF($B$4="Vulcan PO",'📋 ORDERS'!$E$4:$E$675,'📋 ORDERS'!$Q$4:$Q$675)))=$K$4),11),0)=0,"",IFERROR(INDEX('📋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ORDERS'!$Q$4:$Q$675)))=$K$4),11),0)),""))</f>
        <v/>
      </c>
    </row>
    <row r="34" spans="2:10" ht="15.75" hidden="1" customHeight="1" x14ac:dyDescent="0.35">
      <c r="B34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ORDERS'!$Q$4:$Q$675)))=$K$4),12),0)=0,"",12)</f>
        <v/>
      </c>
      <c r="C34" s="88" t="str">
        <f ca="1">IF(IFERROR(_xludf.aggregate(15,6,(ROW('📋 ORDERS'!$B$4:$B$675)-3)/(IF($B$4="SKF Order",'📋 ORDERS'!$C$4:$C$675,IF($B$4="TATA Order",'📋 ORDERS'!$D$4:$D$675,IF($B$4="Vulcan PO",'📋 ORDERS'!$E$4:$E$675,'📋 ORDERS'!$Q$4:$Q$675)))=$K$4),12),0)=0,"",IFERROR(INDEX('📋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ORDERS'!$Q$4:$Q$675)))=$K$4),12),0)),""))</f>
        <v/>
      </c>
      <c r="D34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ORDERS'!$Q$4:$Q$675)))=$K$4),12),0)=0,"",IFERROR(INDEX('📋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ORDERS'!$Q$4:$Q$675)))=$K$4),12),0)),""))</f>
        <v/>
      </c>
      <c r="E34" s="204"/>
      <c r="F34" s="89" t="str">
        <f ca="1">IF(IFERROR(_xludf.aggregate(15,6,(ROW('📋 ORDERS'!$B$4:$B$675)-3)/(IF($B$4="SKF Order",'📋 ORDERS'!$C$4:$C$675,IF($B$4="TATA Order",'📋 ORDERS'!$D$4:$D$675,IF($B$4="Vulcan PO",'📋 ORDERS'!$E$4:$E$675,'📋 ORDERS'!$Q$4:$Q$675)))=$K$4),12),0)=0,"",IFERROR(INDEX('📋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ORDERS'!$Q$4:$Q$675)))=$K$4),12),0)),""))</f>
        <v/>
      </c>
      <c r="G34" s="90" t="str">
        <f ca="1">IF(IFERROR(_xludf.aggregate(15,6,(ROW('📋 ORDERS'!$B$4:$B$675)-3)/(IF($B$4="SKF Order",'📋 ORDERS'!$C$4:$C$675,IF($B$4="TATA Order",'📋 ORDERS'!$D$4:$D$675,IF($B$4="Vulcan PO",'📋 ORDERS'!$E$4:$E$675,'📋 ORDERS'!$Q$4:$Q$675)))=$K$4),12),0)=0,"",IFERROR(INDEX('📋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ORDERS'!$Q$4:$Q$675)))=$K$4),12),0)),""))</f>
        <v/>
      </c>
      <c r="H34" s="91" t="str">
        <f ca="1">IF(IFERROR(_xludf.aggregate(15,6,(ROW('📋 ORDERS'!$B$4:$B$675)-3)/(IF($B$4="SKF Order",'📋 ORDERS'!$C$4:$C$675,IF($B$4="TATA Order",'📋 ORDERS'!$D$4:$D$675,IF($B$4="Vulcan PO",'📋 ORDERS'!$E$4:$E$675,'📋 ORDERS'!$Q$4:$Q$675)))=$K$4),12),0)=0,"",IFERROR(INDEX('📋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ORDERS'!$Q$4:$Q$675)))=$K$4),12),0)),""))</f>
        <v/>
      </c>
      <c r="I34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ORDERS'!$Q$4:$Q$675)))=$K$4),12),0)=0,"",IFERROR(INDEX('📋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ORDERS'!$Q$4:$Q$675)))=$K$4),12),0)),""))</f>
        <v/>
      </c>
      <c r="J34" s="92" t="str">
        <f ca="1">IF(IFERROR(_xludf.aggregate(15,6,(ROW('📋 ORDERS'!$B$4:$B$675)-3)/(IF($B$4="SKF Order",'📋 ORDERS'!$C$4:$C$675,IF($B$4="TATA Order",'📋 ORDERS'!$D$4:$D$675,IF($B$4="Vulcan PO",'📋 ORDERS'!$E$4:$E$675,'📋 ORDERS'!$Q$4:$Q$675)))=$K$4),12),0)=0,"",IFERROR(INDEX('📋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ORDERS'!$Q$4:$Q$675)))=$K$4),12),0)),""))</f>
        <v/>
      </c>
    </row>
    <row r="35" spans="2:10" ht="15.75" hidden="1" customHeight="1" x14ac:dyDescent="0.35">
      <c r="B35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ORDERS'!$Q$4:$Q$675)))=$K$4),13),0)=0,"",13)</f>
        <v/>
      </c>
      <c r="C35" s="82" t="str">
        <f ca="1">IF(IFERROR(_xludf.aggregate(15,6,(ROW('📋 ORDERS'!$B$4:$B$675)-3)/(IF($B$4="SKF Order",'📋 ORDERS'!$C$4:$C$675,IF($B$4="TATA Order",'📋 ORDERS'!$D$4:$D$675,IF($B$4="Vulcan PO",'📋 ORDERS'!$E$4:$E$675,'📋 ORDERS'!$Q$4:$Q$675)))=$K$4),13),0)=0,"",IFERROR(INDEX('📋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ORDERS'!$Q$4:$Q$675)))=$K$4),13),0)),""))</f>
        <v/>
      </c>
      <c r="D35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ORDERS'!$Q$4:$Q$675)))=$K$4),13),0)=0,"",IFERROR(INDEX('📋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ORDERS'!$Q$4:$Q$675)))=$K$4),13),0)),""))</f>
        <v/>
      </c>
      <c r="E35" s="203"/>
      <c r="F35" s="83" t="str">
        <f ca="1">IF(IFERROR(_xludf.aggregate(15,6,(ROW('📋 ORDERS'!$B$4:$B$675)-3)/(IF($B$4="SKF Order",'📋 ORDERS'!$C$4:$C$675,IF($B$4="TATA Order",'📋 ORDERS'!$D$4:$D$675,IF($B$4="Vulcan PO",'📋 ORDERS'!$E$4:$E$675,'📋 ORDERS'!$Q$4:$Q$675)))=$K$4),13),0)=0,"",IFERROR(INDEX('📋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ORDERS'!$Q$4:$Q$675)))=$K$4),13),0)),""))</f>
        <v/>
      </c>
      <c r="G35" s="84" t="str">
        <f ca="1">IF(IFERROR(_xludf.aggregate(15,6,(ROW('📋 ORDERS'!$B$4:$B$675)-3)/(IF($B$4="SKF Order",'📋 ORDERS'!$C$4:$C$675,IF($B$4="TATA Order",'📋 ORDERS'!$D$4:$D$675,IF($B$4="Vulcan PO",'📋 ORDERS'!$E$4:$E$675,'📋 ORDERS'!$Q$4:$Q$675)))=$K$4),13),0)=0,"",IFERROR(INDEX('📋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ORDERS'!$Q$4:$Q$675)))=$K$4),13),0)),""))</f>
        <v/>
      </c>
      <c r="H35" s="85" t="str">
        <f ca="1">IF(IFERROR(_xludf.aggregate(15,6,(ROW('📋 ORDERS'!$B$4:$B$675)-3)/(IF($B$4="SKF Order",'📋 ORDERS'!$C$4:$C$675,IF($B$4="TATA Order",'📋 ORDERS'!$D$4:$D$675,IF($B$4="Vulcan PO",'📋 ORDERS'!$E$4:$E$675,'📋 ORDERS'!$Q$4:$Q$675)))=$K$4),13),0)=0,"",IFERROR(INDEX('📋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ORDERS'!$Q$4:$Q$675)))=$K$4),13),0)),""))</f>
        <v/>
      </c>
      <c r="I35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ORDERS'!$Q$4:$Q$675)))=$K$4),13),0)=0,"",IFERROR(INDEX('📋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ORDERS'!$Q$4:$Q$675)))=$K$4),13),0)),""))</f>
        <v/>
      </c>
      <c r="J35" s="86" t="str">
        <f ca="1">IF(IFERROR(_xludf.aggregate(15,6,(ROW('📋 ORDERS'!$B$4:$B$675)-3)/(IF($B$4="SKF Order",'📋 ORDERS'!$C$4:$C$675,IF($B$4="TATA Order",'📋 ORDERS'!$D$4:$D$675,IF($B$4="Vulcan PO",'📋 ORDERS'!$E$4:$E$675,'📋 ORDERS'!$Q$4:$Q$675)))=$K$4),13),0)=0,"",IFERROR(INDEX('📋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ORDERS'!$Q$4:$Q$675)))=$K$4),13),0)),""))</f>
        <v/>
      </c>
    </row>
    <row r="36" spans="2:10" ht="15.75" hidden="1" customHeight="1" x14ac:dyDescent="0.35">
      <c r="B36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ORDERS'!$Q$4:$Q$675)))=$K$4),14),0)=0,"",14)</f>
        <v/>
      </c>
      <c r="C36" s="88" t="str">
        <f ca="1">IF(IFERROR(_xludf.aggregate(15,6,(ROW('📋 ORDERS'!$B$4:$B$675)-3)/(IF($B$4="SKF Order",'📋 ORDERS'!$C$4:$C$675,IF($B$4="TATA Order",'📋 ORDERS'!$D$4:$D$675,IF($B$4="Vulcan PO",'📋 ORDERS'!$E$4:$E$675,'📋 ORDERS'!$Q$4:$Q$675)))=$K$4),14),0)=0,"",IFERROR(INDEX('📋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ORDERS'!$Q$4:$Q$675)))=$K$4),14),0)),""))</f>
        <v/>
      </c>
      <c r="D36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ORDERS'!$Q$4:$Q$675)))=$K$4),14),0)=0,"",IFERROR(INDEX('📋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ORDERS'!$Q$4:$Q$675)))=$K$4),14),0)),""))</f>
        <v/>
      </c>
      <c r="E36" s="204"/>
      <c r="F36" s="89" t="str">
        <f ca="1">IF(IFERROR(_xludf.aggregate(15,6,(ROW('📋 ORDERS'!$B$4:$B$675)-3)/(IF($B$4="SKF Order",'📋 ORDERS'!$C$4:$C$675,IF($B$4="TATA Order",'📋 ORDERS'!$D$4:$D$675,IF($B$4="Vulcan PO",'📋 ORDERS'!$E$4:$E$675,'📋 ORDERS'!$Q$4:$Q$675)))=$K$4),14),0)=0,"",IFERROR(INDEX('📋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ORDERS'!$Q$4:$Q$675)))=$K$4),14),0)),""))</f>
        <v/>
      </c>
      <c r="G36" s="90" t="str">
        <f ca="1">IF(IFERROR(_xludf.aggregate(15,6,(ROW('📋 ORDERS'!$B$4:$B$675)-3)/(IF($B$4="SKF Order",'📋 ORDERS'!$C$4:$C$675,IF($B$4="TATA Order",'📋 ORDERS'!$D$4:$D$675,IF($B$4="Vulcan PO",'📋 ORDERS'!$E$4:$E$675,'📋 ORDERS'!$Q$4:$Q$675)))=$K$4),14),0)=0,"",IFERROR(INDEX('📋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ORDERS'!$Q$4:$Q$675)))=$K$4),14),0)),""))</f>
        <v/>
      </c>
      <c r="H36" s="91" t="str">
        <f ca="1">IF(IFERROR(_xludf.aggregate(15,6,(ROW('📋 ORDERS'!$B$4:$B$675)-3)/(IF($B$4="SKF Order",'📋 ORDERS'!$C$4:$C$675,IF($B$4="TATA Order",'📋 ORDERS'!$D$4:$D$675,IF($B$4="Vulcan PO",'📋 ORDERS'!$E$4:$E$675,'📋 ORDERS'!$Q$4:$Q$675)))=$K$4),14),0)=0,"",IFERROR(INDEX('📋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ORDERS'!$Q$4:$Q$675)))=$K$4),14),0)),""))</f>
        <v/>
      </c>
      <c r="I36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ORDERS'!$Q$4:$Q$675)))=$K$4),14),0)=0,"",IFERROR(INDEX('📋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ORDERS'!$Q$4:$Q$675)))=$K$4),14),0)),""))</f>
        <v/>
      </c>
      <c r="J36" s="92" t="str">
        <f ca="1">IF(IFERROR(_xludf.aggregate(15,6,(ROW('📋 ORDERS'!$B$4:$B$675)-3)/(IF($B$4="SKF Order",'📋 ORDERS'!$C$4:$C$675,IF($B$4="TATA Order",'📋 ORDERS'!$D$4:$D$675,IF($B$4="Vulcan PO",'📋 ORDERS'!$E$4:$E$675,'📋 ORDERS'!$Q$4:$Q$675)))=$K$4),14),0)=0,"",IFERROR(INDEX('📋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ORDERS'!$Q$4:$Q$675)))=$K$4),14),0)),""))</f>
        <v/>
      </c>
    </row>
    <row r="37" spans="2:10" ht="15.75" hidden="1" customHeight="1" x14ac:dyDescent="0.35">
      <c r="B37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ORDERS'!$Q$4:$Q$675)))=$K$4),15),0)=0,"",15)</f>
        <v/>
      </c>
      <c r="C37" s="82" t="str">
        <f ca="1">IF(IFERROR(_xludf.aggregate(15,6,(ROW('📋 ORDERS'!$B$4:$B$675)-3)/(IF($B$4="SKF Order",'📋 ORDERS'!$C$4:$C$675,IF($B$4="TATA Order",'📋 ORDERS'!$D$4:$D$675,IF($B$4="Vulcan PO",'📋 ORDERS'!$E$4:$E$675,'📋 ORDERS'!$Q$4:$Q$675)))=$K$4),15),0)=0,"",IFERROR(INDEX('📋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ORDERS'!$Q$4:$Q$675)))=$K$4),15),0)),""))</f>
        <v/>
      </c>
      <c r="D37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ORDERS'!$Q$4:$Q$675)))=$K$4),15),0)=0,"",IFERROR(INDEX('📋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ORDERS'!$Q$4:$Q$675)))=$K$4),15),0)),""))</f>
        <v/>
      </c>
      <c r="E37" s="203"/>
      <c r="F37" s="83" t="str">
        <f ca="1">IF(IFERROR(_xludf.aggregate(15,6,(ROW('📋 ORDERS'!$B$4:$B$675)-3)/(IF($B$4="SKF Order",'📋 ORDERS'!$C$4:$C$675,IF($B$4="TATA Order",'📋 ORDERS'!$D$4:$D$675,IF($B$4="Vulcan PO",'📋 ORDERS'!$E$4:$E$675,'📋 ORDERS'!$Q$4:$Q$675)))=$K$4),15),0)=0,"",IFERROR(INDEX('📋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ORDERS'!$Q$4:$Q$675)))=$K$4),15),0)),""))</f>
        <v/>
      </c>
      <c r="G37" s="84" t="str">
        <f ca="1">IF(IFERROR(_xludf.aggregate(15,6,(ROW('📋 ORDERS'!$B$4:$B$675)-3)/(IF($B$4="SKF Order",'📋 ORDERS'!$C$4:$C$675,IF($B$4="TATA Order",'📋 ORDERS'!$D$4:$D$675,IF($B$4="Vulcan PO",'📋 ORDERS'!$E$4:$E$675,'📋 ORDERS'!$Q$4:$Q$675)))=$K$4),15),0)=0,"",IFERROR(INDEX('📋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ORDERS'!$Q$4:$Q$675)))=$K$4),15),0)),""))</f>
        <v/>
      </c>
      <c r="H37" s="85" t="str">
        <f ca="1">IF(IFERROR(_xludf.aggregate(15,6,(ROW('📋 ORDERS'!$B$4:$B$675)-3)/(IF($B$4="SKF Order",'📋 ORDERS'!$C$4:$C$675,IF($B$4="TATA Order",'📋 ORDERS'!$D$4:$D$675,IF($B$4="Vulcan PO",'📋 ORDERS'!$E$4:$E$675,'📋 ORDERS'!$Q$4:$Q$675)))=$K$4),15),0)=0,"",IFERROR(INDEX('📋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ORDERS'!$Q$4:$Q$675)))=$K$4),15),0)),""))</f>
        <v/>
      </c>
      <c r="I37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ORDERS'!$Q$4:$Q$675)))=$K$4),15),0)=0,"",IFERROR(INDEX('📋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ORDERS'!$Q$4:$Q$675)))=$K$4),15),0)),""))</f>
        <v/>
      </c>
      <c r="J37" s="86" t="str">
        <f ca="1">IF(IFERROR(_xludf.aggregate(15,6,(ROW('📋 ORDERS'!$B$4:$B$675)-3)/(IF($B$4="SKF Order",'📋 ORDERS'!$C$4:$C$675,IF($B$4="TATA Order",'📋 ORDERS'!$D$4:$D$675,IF($B$4="Vulcan PO",'📋 ORDERS'!$E$4:$E$675,'📋 ORDERS'!$Q$4:$Q$675)))=$K$4),15),0)=0,"",IFERROR(INDEX('📋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ORDERS'!$Q$4:$Q$675)))=$K$4),15),0)),""))</f>
        <v/>
      </c>
    </row>
    <row r="38" spans="2:10" ht="15.75" hidden="1" customHeight="1" x14ac:dyDescent="0.35">
      <c r="B38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ORDERS'!$Q$4:$Q$675)))=$K$4),16),0)=0,"",16)</f>
        <v/>
      </c>
      <c r="C38" s="88" t="str">
        <f ca="1">IF(IFERROR(_xludf.aggregate(15,6,(ROW('📋 ORDERS'!$B$4:$B$675)-3)/(IF($B$4="SKF Order",'📋 ORDERS'!$C$4:$C$675,IF($B$4="TATA Order",'📋 ORDERS'!$D$4:$D$675,IF($B$4="Vulcan PO",'📋 ORDERS'!$E$4:$E$675,'📋 ORDERS'!$Q$4:$Q$675)))=$K$4),16),0)=0,"",IFERROR(INDEX('📋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ORDERS'!$Q$4:$Q$675)))=$K$4),16),0)),""))</f>
        <v/>
      </c>
      <c r="D38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ORDERS'!$Q$4:$Q$675)))=$K$4),16),0)=0,"",IFERROR(INDEX('📋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ORDERS'!$Q$4:$Q$675)))=$K$4),16),0)),""))</f>
        <v/>
      </c>
      <c r="E38" s="204"/>
      <c r="F38" s="89" t="str">
        <f ca="1">IF(IFERROR(_xludf.aggregate(15,6,(ROW('📋 ORDERS'!$B$4:$B$675)-3)/(IF($B$4="SKF Order",'📋 ORDERS'!$C$4:$C$675,IF($B$4="TATA Order",'📋 ORDERS'!$D$4:$D$675,IF($B$4="Vulcan PO",'📋 ORDERS'!$E$4:$E$675,'📋 ORDERS'!$Q$4:$Q$675)))=$K$4),16),0)=0,"",IFERROR(INDEX('📋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ORDERS'!$Q$4:$Q$675)))=$K$4),16),0)),""))</f>
        <v/>
      </c>
      <c r="G38" s="90" t="str">
        <f ca="1">IF(IFERROR(_xludf.aggregate(15,6,(ROW('📋 ORDERS'!$B$4:$B$675)-3)/(IF($B$4="SKF Order",'📋 ORDERS'!$C$4:$C$675,IF($B$4="TATA Order",'📋 ORDERS'!$D$4:$D$675,IF($B$4="Vulcan PO",'📋 ORDERS'!$E$4:$E$675,'📋 ORDERS'!$Q$4:$Q$675)))=$K$4),16),0)=0,"",IFERROR(INDEX('📋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ORDERS'!$Q$4:$Q$675)))=$K$4),16),0)),""))</f>
        <v/>
      </c>
      <c r="H38" s="91" t="str">
        <f ca="1">IF(IFERROR(_xludf.aggregate(15,6,(ROW('📋 ORDERS'!$B$4:$B$675)-3)/(IF($B$4="SKF Order",'📋 ORDERS'!$C$4:$C$675,IF($B$4="TATA Order",'📋 ORDERS'!$D$4:$D$675,IF($B$4="Vulcan PO",'📋 ORDERS'!$E$4:$E$675,'📋 ORDERS'!$Q$4:$Q$675)))=$K$4),16),0)=0,"",IFERROR(INDEX('📋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ORDERS'!$Q$4:$Q$675)))=$K$4),16),0)),""))</f>
        <v/>
      </c>
      <c r="I38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ORDERS'!$Q$4:$Q$675)))=$K$4),16),0)=0,"",IFERROR(INDEX('📋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ORDERS'!$Q$4:$Q$675)))=$K$4),16),0)),""))</f>
        <v/>
      </c>
      <c r="J38" s="92" t="str">
        <f ca="1">IF(IFERROR(_xludf.aggregate(15,6,(ROW('📋 ORDERS'!$B$4:$B$675)-3)/(IF($B$4="SKF Order",'📋 ORDERS'!$C$4:$C$675,IF($B$4="TATA Order",'📋 ORDERS'!$D$4:$D$675,IF($B$4="Vulcan PO",'📋 ORDERS'!$E$4:$E$675,'📋 ORDERS'!$Q$4:$Q$675)))=$K$4),16),0)=0,"",IFERROR(INDEX('📋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ORDERS'!$Q$4:$Q$675)))=$K$4),16),0)),""))</f>
        <v/>
      </c>
    </row>
    <row r="39" spans="2:10" ht="15.75" hidden="1" customHeight="1" x14ac:dyDescent="0.35">
      <c r="B39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ORDERS'!$Q$4:$Q$675)))=$K$4),17),0)=0,"",17)</f>
        <v/>
      </c>
      <c r="C39" s="82" t="str">
        <f ca="1">IF(IFERROR(_xludf.aggregate(15,6,(ROW('📋 ORDERS'!$B$4:$B$675)-3)/(IF($B$4="SKF Order",'📋 ORDERS'!$C$4:$C$675,IF($B$4="TATA Order",'📋 ORDERS'!$D$4:$D$675,IF($B$4="Vulcan PO",'📋 ORDERS'!$E$4:$E$675,'📋 ORDERS'!$Q$4:$Q$675)))=$K$4),17),0)=0,"",IFERROR(INDEX('📋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ORDERS'!$Q$4:$Q$675)))=$K$4),17),0)),""))</f>
        <v/>
      </c>
      <c r="D39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ORDERS'!$Q$4:$Q$675)))=$K$4),17),0)=0,"",IFERROR(INDEX('📋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ORDERS'!$Q$4:$Q$675)))=$K$4),17),0)),""))</f>
        <v/>
      </c>
      <c r="E39" s="203"/>
      <c r="F39" s="83" t="str">
        <f ca="1">IF(IFERROR(_xludf.aggregate(15,6,(ROW('📋 ORDERS'!$B$4:$B$675)-3)/(IF($B$4="SKF Order",'📋 ORDERS'!$C$4:$C$675,IF($B$4="TATA Order",'📋 ORDERS'!$D$4:$D$675,IF($B$4="Vulcan PO",'📋 ORDERS'!$E$4:$E$675,'📋 ORDERS'!$Q$4:$Q$675)))=$K$4),17),0)=0,"",IFERROR(INDEX('📋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ORDERS'!$Q$4:$Q$675)))=$K$4),17),0)),""))</f>
        <v/>
      </c>
      <c r="G39" s="84" t="str">
        <f ca="1">IF(IFERROR(_xludf.aggregate(15,6,(ROW('📋 ORDERS'!$B$4:$B$675)-3)/(IF($B$4="SKF Order",'📋 ORDERS'!$C$4:$C$675,IF($B$4="TATA Order",'📋 ORDERS'!$D$4:$D$675,IF($B$4="Vulcan PO",'📋 ORDERS'!$E$4:$E$675,'📋 ORDERS'!$Q$4:$Q$675)))=$K$4),17),0)=0,"",IFERROR(INDEX('📋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ORDERS'!$Q$4:$Q$675)))=$K$4),17),0)),""))</f>
        <v/>
      </c>
      <c r="H39" s="85" t="str">
        <f ca="1">IF(IFERROR(_xludf.aggregate(15,6,(ROW('📋 ORDERS'!$B$4:$B$675)-3)/(IF($B$4="SKF Order",'📋 ORDERS'!$C$4:$C$675,IF($B$4="TATA Order",'📋 ORDERS'!$D$4:$D$675,IF($B$4="Vulcan PO",'📋 ORDERS'!$E$4:$E$675,'📋 ORDERS'!$Q$4:$Q$675)))=$K$4),17),0)=0,"",IFERROR(INDEX('📋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ORDERS'!$Q$4:$Q$675)))=$K$4),17),0)),""))</f>
        <v/>
      </c>
      <c r="I39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ORDERS'!$Q$4:$Q$675)))=$K$4),17),0)=0,"",IFERROR(INDEX('📋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ORDERS'!$Q$4:$Q$675)))=$K$4),17),0)),""))</f>
        <v/>
      </c>
      <c r="J39" s="86" t="str">
        <f ca="1">IF(IFERROR(_xludf.aggregate(15,6,(ROW('📋 ORDERS'!$B$4:$B$675)-3)/(IF($B$4="SKF Order",'📋 ORDERS'!$C$4:$C$675,IF($B$4="TATA Order",'📋 ORDERS'!$D$4:$D$675,IF($B$4="Vulcan PO",'📋 ORDERS'!$E$4:$E$675,'📋 ORDERS'!$Q$4:$Q$675)))=$K$4),17),0)=0,"",IFERROR(INDEX('📋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ORDERS'!$Q$4:$Q$675)))=$K$4),17),0)),""))</f>
        <v/>
      </c>
    </row>
    <row r="40" spans="2:10" ht="15.75" hidden="1" customHeight="1" x14ac:dyDescent="0.35">
      <c r="B40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ORDERS'!$Q$4:$Q$675)))=$K$4),18),0)=0,"",18)</f>
        <v/>
      </c>
      <c r="C40" s="88" t="str">
        <f ca="1">IF(IFERROR(_xludf.aggregate(15,6,(ROW('📋 ORDERS'!$B$4:$B$675)-3)/(IF($B$4="SKF Order",'📋 ORDERS'!$C$4:$C$675,IF($B$4="TATA Order",'📋 ORDERS'!$D$4:$D$675,IF($B$4="Vulcan PO",'📋 ORDERS'!$E$4:$E$675,'📋 ORDERS'!$Q$4:$Q$675)))=$K$4),18),0)=0,"",IFERROR(INDEX('📋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ORDERS'!$Q$4:$Q$675)))=$K$4),18),0)),""))</f>
        <v/>
      </c>
      <c r="D40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ORDERS'!$Q$4:$Q$675)))=$K$4),18),0)=0,"",IFERROR(INDEX('📋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ORDERS'!$Q$4:$Q$675)))=$K$4),18),0)),""))</f>
        <v/>
      </c>
      <c r="E40" s="204"/>
      <c r="F40" s="89" t="str">
        <f ca="1">IF(IFERROR(_xludf.aggregate(15,6,(ROW('📋 ORDERS'!$B$4:$B$675)-3)/(IF($B$4="SKF Order",'📋 ORDERS'!$C$4:$C$675,IF($B$4="TATA Order",'📋 ORDERS'!$D$4:$D$675,IF($B$4="Vulcan PO",'📋 ORDERS'!$E$4:$E$675,'📋 ORDERS'!$Q$4:$Q$675)))=$K$4),18),0)=0,"",IFERROR(INDEX('📋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ORDERS'!$Q$4:$Q$675)))=$K$4),18),0)),""))</f>
        <v/>
      </c>
      <c r="G40" s="90" t="str">
        <f ca="1">IF(IFERROR(_xludf.aggregate(15,6,(ROW('📋 ORDERS'!$B$4:$B$675)-3)/(IF($B$4="SKF Order",'📋 ORDERS'!$C$4:$C$675,IF($B$4="TATA Order",'📋 ORDERS'!$D$4:$D$675,IF($B$4="Vulcan PO",'📋 ORDERS'!$E$4:$E$675,'📋 ORDERS'!$Q$4:$Q$675)))=$K$4),18),0)=0,"",IFERROR(INDEX('📋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ORDERS'!$Q$4:$Q$675)))=$K$4),18),0)),""))</f>
        <v/>
      </c>
      <c r="H40" s="91" t="str">
        <f ca="1">IF(IFERROR(_xludf.aggregate(15,6,(ROW('📋 ORDERS'!$B$4:$B$675)-3)/(IF($B$4="SKF Order",'📋 ORDERS'!$C$4:$C$675,IF($B$4="TATA Order",'📋 ORDERS'!$D$4:$D$675,IF($B$4="Vulcan PO",'📋 ORDERS'!$E$4:$E$675,'📋 ORDERS'!$Q$4:$Q$675)))=$K$4),18),0)=0,"",IFERROR(INDEX('📋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ORDERS'!$Q$4:$Q$675)))=$K$4),18),0)),""))</f>
        <v/>
      </c>
      <c r="I40" s="87" t="str">
        <f ca="1">IF(IFERROR(_xludf.aggregate(15,6,(ROW('📋 ORDERS'!$B$4:$B$675)-3)/(IF($B$4="SKF Order",'📋 ORDERS'!$C$4:$C$675,IF($B$4="TATA Order",'📋 ORDERS'!$D$4:$D$675,IF($B$4="Vulcan PO",'📋 ORDERS'!$E$4:$E$675,'📋 ORDERS'!$Q$4:$Q$675)))=$K$4),18),0)=0,"",IFERROR(INDEX('📋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ORDERS'!$Q$4:$Q$675)))=$K$4),18),0)),""))</f>
        <v/>
      </c>
      <c r="J40" s="92" t="str">
        <f ca="1">IF(IFERROR(_xludf.aggregate(15,6,(ROW('📋 ORDERS'!$B$4:$B$675)-3)/(IF($B$4="SKF Order",'📋 ORDERS'!$C$4:$C$675,IF($B$4="TATA Order",'📋 ORDERS'!$D$4:$D$675,IF($B$4="Vulcan PO",'📋 ORDERS'!$E$4:$E$675,'📋 ORDERS'!$Q$4:$Q$675)))=$K$4),18),0)=0,"",IFERROR(INDEX('📋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ORDERS'!$Q$4:$Q$675)))=$K$4),18),0)),""))</f>
        <v/>
      </c>
    </row>
    <row r="41" spans="2:10" ht="15.75" hidden="1" customHeight="1" x14ac:dyDescent="0.35">
      <c r="B41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ORDERS'!$Q$4:$Q$675)))=$K$4),19),0)=0,"",19)</f>
        <v/>
      </c>
      <c r="C41" s="82" t="str">
        <f ca="1">IF(IFERROR(_xludf.aggregate(15,6,(ROW('📋 ORDERS'!$B$4:$B$675)-3)/(IF($B$4="SKF Order",'📋 ORDERS'!$C$4:$C$675,IF($B$4="TATA Order",'📋 ORDERS'!$D$4:$D$675,IF($B$4="Vulcan PO",'📋 ORDERS'!$E$4:$E$675,'📋 ORDERS'!$Q$4:$Q$675)))=$K$4),19),0)=0,"",IFERROR(INDEX('📋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ORDERS'!$Q$4:$Q$675)))=$K$4),19),0)),""))</f>
        <v/>
      </c>
      <c r="D41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ORDERS'!$Q$4:$Q$675)))=$K$4),19),0)=0,"",IFERROR(INDEX('📋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ORDERS'!$Q$4:$Q$675)))=$K$4),19),0)),""))</f>
        <v/>
      </c>
      <c r="E41" s="203"/>
      <c r="F41" s="83" t="str">
        <f ca="1">IF(IFERROR(_xludf.aggregate(15,6,(ROW('📋 ORDERS'!$B$4:$B$675)-3)/(IF($B$4="SKF Order",'📋 ORDERS'!$C$4:$C$675,IF($B$4="TATA Order",'📋 ORDERS'!$D$4:$D$675,IF($B$4="Vulcan PO",'📋 ORDERS'!$E$4:$E$675,'📋 ORDERS'!$Q$4:$Q$675)))=$K$4),19),0)=0,"",IFERROR(INDEX('📋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ORDERS'!$Q$4:$Q$675)))=$K$4),19),0)),""))</f>
        <v/>
      </c>
      <c r="G41" s="84" t="str">
        <f ca="1">IF(IFERROR(_xludf.aggregate(15,6,(ROW('📋 ORDERS'!$B$4:$B$675)-3)/(IF($B$4="SKF Order",'📋 ORDERS'!$C$4:$C$675,IF($B$4="TATA Order",'📋 ORDERS'!$D$4:$D$675,IF($B$4="Vulcan PO",'📋 ORDERS'!$E$4:$E$675,'📋 ORDERS'!$Q$4:$Q$675)))=$K$4),19),0)=0,"",IFERROR(INDEX('📋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ORDERS'!$Q$4:$Q$675)))=$K$4),19),0)),""))</f>
        <v/>
      </c>
      <c r="H41" s="85" t="str">
        <f ca="1">IF(IFERROR(_xludf.aggregate(15,6,(ROW('📋 ORDERS'!$B$4:$B$675)-3)/(IF($B$4="SKF Order",'📋 ORDERS'!$C$4:$C$675,IF($B$4="TATA Order",'📋 ORDERS'!$D$4:$D$675,IF($B$4="Vulcan PO",'📋 ORDERS'!$E$4:$E$675,'📋 ORDERS'!$Q$4:$Q$675)))=$K$4),19),0)=0,"",IFERROR(INDEX('📋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ORDERS'!$Q$4:$Q$675)))=$K$4),19),0)),""))</f>
        <v/>
      </c>
      <c r="I41" s="81" t="str">
        <f ca="1">IF(IFERROR(_xludf.aggregate(15,6,(ROW('📋 ORDERS'!$B$4:$B$675)-3)/(IF($B$4="SKF Order",'📋 ORDERS'!$C$4:$C$675,IF($B$4="TATA Order",'📋 ORDERS'!$D$4:$D$675,IF($B$4="Vulcan PO",'📋 ORDERS'!$E$4:$E$675,'📋 ORDERS'!$Q$4:$Q$675)))=$K$4),19),0)=0,"",IFERROR(INDEX('📋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ORDERS'!$Q$4:$Q$675)))=$K$4),19),0)),""))</f>
        <v/>
      </c>
      <c r="J41" s="86" t="str">
        <f ca="1">IF(IFERROR(_xludf.aggregate(15,6,(ROW('📋 ORDERS'!$B$4:$B$675)-3)/(IF($B$4="SKF Order",'📋 ORDERS'!$C$4:$C$675,IF($B$4="TATA Order",'📋 ORDERS'!$D$4:$D$675,IF($B$4="Vulcan PO",'📋 ORDERS'!$E$4:$E$675,'📋 ORDERS'!$Q$4:$Q$675)))=$K$4),19),0)=0,"",IFERROR(INDEX('📋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ORDERS'!$Q$4:$Q$675)))=$K$4),19),0)),""))</f>
        <v/>
      </c>
    </row>
    <row r="42" spans="2:10" ht="15.75" hidden="1" customHeight="1" x14ac:dyDescent="0.35">
      <c r="B42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ORDERS'!$Q$4:$Q$675)))=$K$4),20),0)=0,"",20)</f>
        <v/>
      </c>
      <c r="C42" s="88" t="str">
        <f ca="1">IF(IFERROR(_xludf.aggregate(15,6,(ROW('📋 ORDERS'!$B$4:$B$675)-3)/(IF($B$4="SKF Order",'📋 ORDERS'!$C$4:$C$675,IF($B$4="TATA Order",'📋 ORDERS'!$D$4:$D$675,IF($B$4="Vulcan PO",'📋 ORDERS'!$E$4:$E$675,'📋 ORDERS'!$Q$4:$Q$675)))=$K$4),20),0)=0,"",IFERROR(INDEX('📋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ORDERS'!$Q$4:$Q$675)))=$K$4),20),0)),""))</f>
        <v/>
      </c>
      <c r="D42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ORDERS'!$Q$4:$Q$675)))=$K$4),20),0)=0,"",IFERROR(INDEX('📋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ORDERS'!$Q$4:$Q$675)))=$K$4),20),0)),""))</f>
        <v/>
      </c>
      <c r="E42" s="204"/>
      <c r="F42" s="89" t="str">
        <f ca="1">IF(IFERROR(_xludf.aggregate(15,6,(ROW('📋 ORDERS'!$B$4:$B$675)-3)/(IF($B$4="SKF Order",'📋 ORDERS'!$C$4:$C$675,IF($B$4="TATA Order",'📋 ORDERS'!$D$4:$D$675,IF($B$4="Vulcan PO",'📋 ORDERS'!$E$4:$E$675,'📋 ORDERS'!$Q$4:$Q$675)))=$K$4),20),0)=0,"",IFERROR(INDEX('📋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ORDERS'!$Q$4:$Q$675)))=$K$4),20),0)),""))</f>
        <v/>
      </c>
      <c r="G42" s="90" t="str">
        <f ca="1">IF(IFERROR(_xludf.aggregate(15,6,(ROW('📋 ORDERS'!$B$4:$B$675)-3)/(IF($B$4="SKF Order",'📋 ORDERS'!$C$4:$C$675,IF($B$4="TATA Order",'📋 ORDERS'!$D$4:$D$675,IF($B$4="Vulcan PO",'📋 ORDERS'!$E$4:$E$675,'📋 ORDERS'!$Q$4:$Q$675)))=$K$4),20),0)=0,"",IFERROR(INDEX('📋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ORDERS'!$Q$4:$Q$675)))=$K$4),20),0)),""))</f>
        <v/>
      </c>
      <c r="H42" s="91" t="str">
        <f ca="1">IF(IFERROR(_xludf.aggregate(15,6,(ROW('📋 ORDERS'!$B$4:$B$675)-3)/(IF($B$4="SKF Order",'📋 ORDERS'!$C$4:$C$675,IF($B$4="TATA Order",'📋 ORDERS'!$D$4:$D$675,IF($B$4="Vulcan PO",'📋 ORDERS'!$E$4:$E$675,'📋 ORDERS'!$Q$4:$Q$675)))=$K$4),20),0)=0,"",IFERROR(INDEX('📋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ORDERS'!$Q$4:$Q$675)))=$K$4),20),0)),""))</f>
        <v/>
      </c>
      <c r="I42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ORDERS'!$Q$4:$Q$675)))=$K$4),20),0)=0,"",IFERROR(INDEX('📋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ORDERS'!$Q$4:$Q$675)))=$K$4),20),0)),""))</f>
        <v/>
      </c>
      <c r="J42" s="92" t="str">
        <f ca="1">IF(IFERROR(_xludf.aggregate(15,6,(ROW('📋 ORDERS'!$B$4:$B$675)-3)/(IF($B$4="SKF Order",'📋 ORDERS'!$C$4:$C$675,IF($B$4="TATA Order",'📋 ORDERS'!$D$4:$D$675,IF($B$4="Vulcan PO",'📋 ORDERS'!$E$4:$E$675,'📋 ORDERS'!$Q$4:$Q$675)))=$K$4),20),0)=0,"",IFERROR(INDEX('📋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ORDERS'!$Q$4:$Q$675)))=$K$4),20),0)),""))</f>
        <v/>
      </c>
    </row>
    <row r="43" spans="2:10" ht="15.75" hidden="1" customHeight="1" x14ac:dyDescent="0.35">
      <c r="B43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ORDERS'!$Q$4:$Q$675)))=$K$4),21),0)=0,"",21)</f>
        <v/>
      </c>
      <c r="C43" s="82" t="str">
        <f ca="1">IF(IFERROR(_xludf.aggregate(15,6,(ROW('📋 ORDERS'!$B$4:$B$675)-3)/(IF($B$4="SKF Order",'📋 ORDERS'!$C$4:$C$675,IF($B$4="TATA Order",'📋 ORDERS'!$D$4:$D$675,IF($B$4="Vulcan PO",'📋 ORDERS'!$E$4:$E$675,'📋 ORDERS'!$Q$4:$Q$675)))=$K$4),21),0)=0,"",IFERROR(INDEX('📋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ORDERS'!$Q$4:$Q$675)))=$K$4),21),0)),""))</f>
        <v/>
      </c>
      <c r="D43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ORDERS'!$Q$4:$Q$675)))=$K$4),21),0)=0,"",IFERROR(INDEX('📋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ORDERS'!$Q$4:$Q$675)))=$K$4),21),0)),""))</f>
        <v/>
      </c>
      <c r="E43" s="203"/>
      <c r="F43" s="83" t="str">
        <f ca="1">IF(IFERROR(_xludf.aggregate(15,6,(ROW('📋 ORDERS'!$B$4:$B$675)-3)/(IF($B$4="SKF Order",'📋 ORDERS'!$C$4:$C$675,IF($B$4="TATA Order",'📋 ORDERS'!$D$4:$D$675,IF($B$4="Vulcan PO",'📋 ORDERS'!$E$4:$E$675,'📋 ORDERS'!$Q$4:$Q$675)))=$K$4),21),0)=0,"",IFERROR(INDEX('📋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ORDERS'!$Q$4:$Q$675)))=$K$4),21),0)),""))</f>
        <v/>
      </c>
      <c r="G43" s="84" t="str">
        <f ca="1">IF(IFERROR(_xludf.aggregate(15,6,(ROW('📋 ORDERS'!$B$4:$B$675)-3)/(IF($B$4="SKF Order",'📋 ORDERS'!$C$4:$C$675,IF($B$4="TATA Order",'📋 ORDERS'!$D$4:$D$675,IF($B$4="Vulcan PO",'📋 ORDERS'!$E$4:$E$675,'📋 ORDERS'!$Q$4:$Q$675)))=$K$4),21),0)=0,"",IFERROR(INDEX('📋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ORDERS'!$Q$4:$Q$675)))=$K$4),21),0)),""))</f>
        <v/>
      </c>
      <c r="H43" s="85" t="str">
        <f ca="1">IF(IFERROR(_xludf.aggregate(15,6,(ROW('📋 ORDERS'!$B$4:$B$675)-3)/(IF($B$4="SKF Order",'📋 ORDERS'!$C$4:$C$675,IF($B$4="TATA Order",'📋 ORDERS'!$D$4:$D$675,IF($B$4="Vulcan PO",'📋 ORDERS'!$E$4:$E$675,'📋 ORDERS'!$Q$4:$Q$675)))=$K$4),21),0)=0,"",IFERROR(INDEX('📋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ORDERS'!$Q$4:$Q$675)))=$K$4),21),0)),""))</f>
        <v/>
      </c>
      <c r="I43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ORDERS'!$Q$4:$Q$675)))=$K$4),21),0)=0,"",IFERROR(INDEX('📋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ORDERS'!$Q$4:$Q$675)))=$K$4),21),0)),""))</f>
        <v/>
      </c>
      <c r="J43" s="86" t="str">
        <f ca="1">IF(IFERROR(_xludf.aggregate(15,6,(ROW('📋 ORDERS'!$B$4:$B$675)-3)/(IF($B$4="SKF Order",'📋 ORDERS'!$C$4:$C$675,IF($B$4="TATA Order",'📋 ORDERS'!$D$4:$D$675,IF($B$4="Vulcan PO",'📋 ORDERS'!$E$4:$E$675,'📋 ORDERS'!$Q$4:$Q$675)))=$K$4),21),0)=0,"",IFERROR(INDEX('📋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ORDERS'!$Q$4:$Q$675)))=$K$4),21),0)),""))</f>
        <v/>
      </c>
    </row>
    <row r="44" spans="2:10" ht="15.75" hidden="1" customHeight="1" x14ac:dyDescent="0.35">
      <c r="B44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ORDERS'!$Q$4:$Q$675)))=$K$4),22),0)=0,"",22)</f>
        <v/>
      </c>
      <c r="C44" s="88" t="str">
        <f ca="1">IF(IFERROR(_xludf.aggregate(15,6,(ROW('📋 ORDERS'!$B$4:$B$675)-3)/(IF($B$4="SKF Order",'📋 ORDERS'!$C$4:$C$675,IF($B$4="TATA Order",'📋 ORDERS'!$D$4:$D$675,IF($B$4="Vulcan PO",'📋 ORDERS'!$E$4:$E$675,'📋 ORDERS'!$Q$4:$Q$675)))=$K$4),22),0)=0,"",IFERROR(INDEX('📋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ORDERS'!$Q$4:$Q$675)))=$K$4),22),0)),""))</f>
        <v/>
      </c>
      <c r="D44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ORDERS'!$Q$4:$Q$675)))=$K$4),22),0)=0,"",IFERROR(INDEX('📋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ORDERS'!$Q$4:$Q$675)))=$K$4),22),0)),""))</f>
        <v/>
      </c>
      <c r="E44" s="204"/>
      <c r="F44" s="89" t="str">
        <f ca="1">IF(IFERROR(_xludf.aggregate(15,6,(ROW('📋 ORDERS'!$B$4:$B$675)-3)/(IF($B$4="SKF Order",'📋 ORDERS'!$C$4:$C$675,IF($B$4="TATA Order",'📋 ORDERS'!$D$4:$D$675,IF($B$4="Vulcan PO",'📋 ORDERS'!$E$4:$E$675,'📋 ORDERS'!$Q$4:$Q$675)))=$K$4),22),0)=0,"",IFERROR(INDEX('📋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ORDERS'!$Q$4:$Q$675)))=$K$4),22),0)),""))</f>
        <v/>
      </c>
      <c r="G44" s="90" t="str">
        <f ca="1">IF(IFERROR(_xludf.aggregate(15,6,(ROW('📋 ORDERS'!$B$4:$B$675)-3)/(IF($B$4="SKF Order",'📋 ORDERS'!$C$4:$C$675,IF($B$4="TATA Order",'📋 ORDERS'!$D$4:$D$675,IF($B$4="Vulcan PO",'📋 ORDERS'!$E$4:$E$675,'📋 ORDERS'!$Q$4:$Q$675)))=$K$4),22),0)=0,"",IFERROR(INDEX('📋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ORDERS'!$Q$4:$Q$675)))=$K$4),22),0)),""))</f>
        <v/>
      </c>
      <c r="H44" s="91" t="str">
        <f ca="1">IF(IFERROR(_xludf.aggregate(15,6,(ROW('📋 ORDERS'!$B$4:$B$675)-3)/(IF($B$4="SKF Order",'📋 ORDERS'!$C$4:$C$675,IF($B$4="TATA Order",'📋 ORDERS'!$D$4:$D$675,IF($B$4="Vulcan PO",'📋 ORDERS'!$E$4:$E$675,'📋 ORDERS'!$Q$4:$Q$675)))=$K$4),22),0)=0,"",IFERROR(INDEX('📋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ORDERS'!$Q$4:$Q$675)))=$K$4),22),0)),""))</f>
        <v/>
      </c>
      <c r="I44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ORDERS'!$Q$4:$Q$675)))=$K$4),22),0)=0,"",IFERROR(INDEX('📋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ORDERS'!$Q$4:$Q$675)))=$K$4),22),0)),""))</f>
        <v/>
      </c>
      <c r="J44" s="92" t="str">
        <f ca="1">IF(IFERROR(_xludf.aggregate(15,6,(ROW('📋 ORDERS'!$B$4:$B$675)-3)/(IF($B$4="SKF Order",'📋 ORDERS'!$C$4:$C$675,IF($B$4="TATA Order",'📋 ORDERS'!$D$4:$D$675,IF($B$4="Vulcan PO",'📋 ORDERS'!$E$4:$E$675,'📋 ORDERS'!$Q$4:$Q$675)))=$K$4),22),0)=0,"",IFERROR(INDEX('📋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ORDERS'!$Q$4:$Q$675)))=$K$4),22),0)),""))</f>
        <v/>
      </c>
    </row>
    <row r="45" spans="2:10" ht="15.75" hidden="1" customHeight="1" x14ac:dyDescent="0.35">
      <c r="B45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ORDERS'!$Q$4:$Q$675)))=$K$4),23),0)=0,"",23)</f>
        <v/>
      </c>
      <c r="C45" s="82" t="str">
        <f ca="1">IF(IFERROR(_xludf.aggregate(15,6,(ROW('📋 ORDERS'!$B$4:$B$675)-3)/(IF($B$4="SKF Order",'📋 ORDERS'!$C$4:$C$675,IF($B$4="TATA Order",'📋 ORDERS'!$D$4:$D$675,IF($B$4="Vulcan PO",'📋 ORDERS'!$E$4:$E$675,'📋 ORDERS'!$Q$4:$Q$675)))=$K$4),23),0)=0,"",IFERROR(INDEX('📋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ORDERS'!$Q$4:$Q$675)))=$K$4),23),0)),""))</f>
        <v/>
      </c>
      <c r="D45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ORDERS'!$Q$4:$Q$675)))=$K$4),23),0)=0,"",IFERROR(INDEX('📋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ORDERS'!$Q$4:$Q$675)))=$K$4),23),0)),""))</f>
        <v/>
      </c>
      <c r="E45" s="203"/>
      <c r="F45" s="83" t="str">
        <f ca="1">IF(IFERROR(_xludf.aggregate(15,6,(ROW('📋 ORDERS'!$B$4:$B$675)-3)/(IF($B$4="SKF Order",'📋 ORDERS'!$C$4:$C$675,IF($B$4="TATA Order",'📋 ORDERS'!$D$4:$D$675,IF($B$4="Vulcan PO",'📋 ORDERS'!$E$4:$E$675,'📋 ORDERS'!$Q$4:$Q$675)))=$K$4),23),0)=0,"",IFERROR(INDEX('📋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ORDERS'!$Q$4:$Q$675)))=$K$4),23),0)),""))</f>
        <v/>
      </c>
      <c r="G45" s="84" t="str">
        <f ca="1">IF(IFERROR(_xludf.aggregate(15,6,(ROW('📋 ORDERS'!$B$4:$B$675)-3)/(IF($B$4="SKF Order",'📋 ORDERS'!$C$4:$C$675,IF($B$4="TATA Order",'📋 ORDERS'!$D$4:$D$675,IF($B$4="Vulcan PO",'📋 ORDERS'!$E$4:$E$675,'📋 ORDERS'!$Q$4:$Q$675)))=$K$4),23),0)=0,"",IFERROR(INDEX('📋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ORDERS'!$Q$4:$Q$675)))=$K$4),23),0)),""))</f>
        <v/>
      </c>
      <c r="H45" s="85" t="str">
        <f ca="1">IF(IFERROR(_xludf.aggregate(15,6,(ROW('📋 ORDERS'!$B$4:$B$675)-3)/(IF($B$4="SKF Order",'📋 ORDERS'!$C$4:$C$675,IF($B$4="TATA Order",'📋 ORDERS'!$D$4:$D$675,IF($B$4="Vulcan PO",'📋 ORDERS'!$E$4:$E$675,'📋 ORDERS'!$Q$4:$Q$675)))=$K$4),23),0)=0,"",IFERROR(INDEX('📋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ORDERS'!$Q$4:$Q$675)))=$K$4),23),0)),""))</f>
        <v/>
      </c>
      <c r="I45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ORDERS'!$Q$4:$Q$675)))=$K$4),23),0)=0,"",IFERROR(INDEX('📋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ORDERS'!$Q$4:$Q$675)))=$K$4),23),0)),""))</f>
        <v/>
      </c>
      <c r="J45" s="86" t="str">
        <f ca="1">IF(IFERROR(_xludf.aggregate(15,6,(ROW('📋 ORDERS'!$B$4:$B$675)-3)/(IF($B$4="SKF Order",'📋 ORDERS'!$C$4:$C$675,IF($B$4="TATA Order",'📋 ORDERS'!$D$4:$D$675,IF($B$4="Vulcan PO",'📋 ORDERS'!$E$4:$E$675,'📋 ORDERS'!$Q$4:$Q$675)))=$K$4),23),0)=0,"",IFERROR(INDEX('📋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ORDERS'!$Q$4:$Q$675)))=$K$4),23),0)),""))</f>
        <v/>
      </c>
    </row>
    <row r="46" spans="2:10" ht="15.75" hidden="1" customHeight="1" x14ac:dyDescent="0.35">
      <c r="B46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ORDERS'!$Q$4:$Q$675)))=$K$4),24),0)=0,"",24)</f>
        <v/>
      </c>
      <c r="C46" s="88" t="str">
        <f ca="1">IF(IFERROR(_xludf.aggregate(15,6,(ROW('📋 ORDERS'!$B$4:$B$675)-3)/(IF($B$4="SKF Order",'📋 ORDERS'!$C$4:$C$675,IF($B$4="TATA Order",'📋 ORDERS'!$D$4:$D$675,IF($B$4="Vulcan PO",'📋 ORDERS'!$E$4:$E$675,'📋 ORDERS'!$Q$4:$Q$675)))=$K$4),24),0)=0,"",IFERROR(INDEX('📋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ORDERS'!$Q$4:$Q$675)))=$K$4),24),0)),""))</f>
        <v/>
      </c>
      <c r="D46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ORDERS'!$Q$4:$Q$675)))=$K$4),24),0)=0,"",IFERROR(INDEX('📋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ORDERS'!$Q$4:$Q$675)))=$K$4),24),0)),""))</f>
        <v/>
      </c>
      <c r="E46" s="204"/>
      <c r="F46" s="89" t="str">
        <f ca="1">IF(IFERROR(_xludf.aggregate(15,6,(ROW('📋 ORDERS'!$B$4:$B$675)-3)/(IF($B$4="SKF Order",'📋 ORDERS'!$C$4:$C$675,IF($B$4="TATA Order",'📋 ORDERS'!$D$4:$D$675,IF($B$4="Vulcan PO",'📋 ORDERS'!$E$4:$E$675,'📋 ORDERS'!$Q$4:$Q$675)))=$K$4),24),0)=0,"",IFERROR(INDEX('📋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ORDERS'!$Q$4:$Q$675)))=$K$4),24),0)),""))</f>
        <v/>
      </c>
      <c r="G46" s="90" t="str">
        <f ca="1">IF(IFERROR(_xludf.aggregate(15,6,(ROW('📋 ORDERS'!$B$4:$B$675)-3)/(IF($B$4="SKF Order",'📋 ORDERS'!$C$4:$C$675,IF($B$4="TATA Order",'📋 ORDERS'!$D$4:$D$675,IF($B$4="Vulcan PO",'📋 ORDERS'!$E$4:$E$675,'📋 ORDERS'!$Q$4:$Q$675)))=$K$4),24),0)=0,"",IFERROR(INDEX('📋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ORDERS'!$Q$4:$Q$675)))=$K$4),24),0)),""))</f>
        <v/>
      </c>
      <c r="H46" s="91" t="str">
        <f ca="1">IF(IFERROR(_xludf.aggregate(15,6,(ROW('📋 ORDERS'!$B$4:$B$675)-3)/(IF($B$4="SKF Order",'📋 ORDERS'!$C$4:$C$675,IF($B$4="TATA Order",'📋 ORDERS'!$D$4:$D$675,IF($B$4="Vulcan PO",'📋 ORDERS'!$E$4:$E$675,'📋 ORDERS'!$Q$4:$Q$675)))=$K$4),24),0)=0,"",IFERROR(INDEX('📋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ORDERS'!$Q$4:$Q$675)))=$K$4),24),0)),""))</f>
        <v/>
      </c>
      <c r="I46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ORDERS'!$Q$4:$Q$675)))=$K$4),24),0)=0,"",IFERROR(INDEX('📋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ORDERS'!$Q$4:$Q$675)))=$K$4),24),0)),""))</f>
        <v/>
      </c>
      <c r="J46" s="92" t="str">
        <f ca="1">IF(IFERROR(_xludf.aggregate(15,6,(ROW('📋 ORDERS'!$B$4:$B$675)-3)/(IF($B$4="SKF Order",'📋 ORDERS'!$C$4:$C$675,IF($B$4="TATA Order",'📋 ORDERS'!$D$4:$D$675,IF($B$4="Vulcan PO",'📋 ORDERS'!$E$4:$E$675,'📋 ORDERS'!$Q$4:$Q$675)))=$K$4),24),0)=0,"",IFERROR(INDEX('📋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ORDERS'!$Q$4:$Q$675)))=$K$4),24),0)),""))</f>
        <v/>
      </c>
    </row>
    <row r="47" spans="2:10" ht="15.75" hidden="1" customHeight="1" x14ac:dyDescent="0.35">
      <c r="B47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ORDERS'!$Q$4:$Q$675)))=$K$4),25),0)=0,"",25)</f>
        <v/>
      </c>
      <c r="C47" s="82" t="str">
        <f ca="1">IF(IFERROR(_xludf.aggregate(15,6,(ROW('📋 ORDERS'!$B$4:$B$675)-3)/(IF($B$4="SKF Order",'📋 ORDERS'!$C$4:$C$675,IF($B$4="TATA Order",'📋 ORDERS'!$D$4:$D$675,IF($B$4="Vulcan PO",'📋 ORDERS'!$E$4:$E$675,'📋 ORDERS'!$Q$4:$Q$675)))=$K$4),25),0)=0,"",IFERROR(INDEX('📋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ORDERS'!$Q$4:$Q$675)))=$K$4),25),0)),""))</f>
        <v/>
      </c>
      <c r="D47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ORDERS'!$Q$4:$Q$675)))=$K$4),25),0)=0,"",IFERROR(INDEX('📋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ORDERS'!$Q$4:$Q$675)))=$K$4),25),0)),""))</f>
        <v/>
      </c>
      <c r="E47" s="203"/>
      <c r="F47" s="83" t="str">
        <f ca="1">IF(IFERROR(_xludf.aggregate(15,6,(ROW('📋 ORDERS'!$B$4:$B$675)-3)/(IF($B$4="SKF Order",'📋 ORDERS'!$C$4:$C$675,IF($B$4="TATA Order",'📋 ORDERS'!$D$4:$D$675,IF($B$4="Vulcan PO",'📋 ORDERS'!$E$4:$E$675,'📋 ORDERS'!$Q$4:$Q$675)))=$K$4),25),0)=0,"",IFERROR(INDEX('📋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ORDERS'!$Q$4:$Q$675)))=$K$4),25),0)),""))</f>
        <v/>
      </c>
      <c r="G47" s="84" t="str">
        <f ca="1">IF(IFERROR(_xludf.aggregate(15,6,(ROW('📋 ORDERS'!$B$4:$B$675)-3)/(IF($B$4="SKF Order",'📋 ORDERS'!$C$4:$C$675,IF($B$4="TATA Order",'📋 ORDERS'!$D$4:$D$675,IF($B$4="Vulcan PO",'📋 ORDERS'!$E$4:$E$675,'📋 ORDERS'!$Q$4:$Q$675)))=$K$4),25),0)=0,"",IFERROR(INDEX('📋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ORDERS'!$Q$4:$Q$675)))=$K$4),25),0)),""))</f>
        <v/>
      </c>
      <c r="H47" s="85" t="str">
        <f ca="1">IF(IFERROR(_xludf.aggregate(15,6,(ROW('📋 ORDERS'!$B$4:$B$675)-3)/(IF($B$4="SKF Order",'📋 ORDERS'!$C$4:$C$675,IF($B$4="TATA Order",'📋 ORDERS'!$D$4:$D$675,IF($B$4="Vulcan PO",'📋 ORDERS'!$E$4:$E$675,'📋 ORDERS'!$Q$4:$Q$675)))=$K$4),25),0)=0,"",IFERROR(INDEX('📋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ORDERS'!$Q$4:$Q$675)))=$K$4),25),0)),""))</f>
        <v/>
      </c>
      <c r="I47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ORDERS'!$Q$4:$Q$675)))=$K$4),25),0)=0,"",IFERROR(INDEX('📋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ORDERS'!$Q$4:$Q$675)))=$K$4),25),0)),""))</f>
        <v/>
      </c>
      <c r="J47" s="86" t="str">
        <f ca="1">IF(IFERROR(_xludf.aggregate(15,6,(ROW('📋 ORDERS'!$B$4:$B$675)-3)/(IF($B$4="SKF Order",'📋 ORDERS'!$C$4:$C$675,IF($B$4="TATA Order",'📋 ORDERS'!$D$4:$D$675,IF($B$4="Vulcan PO",'📋 ORDERS'!$E$4:$E$675,'📋 ORDERS'!$Q$4:$Q$675)))=$K$4),25),0)=0,"",IFERROR(INDEX('📋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ORDERS'!$Q$4:$Q$675)))=$K$4),25),0)),""))</f>
        <v/>
      </c>
    </row>
    <row r="48" spans="2:10" ht="15.75" hidden="1" customHeight="1" x14ac:dyDescent="0.35">
      <c r="B48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ORDERS'!$Q$4:$Q$675)))=$K$4),26),0)=0,"",26)</f>
        <v/>
      </c>
      <c r="C48" s="88" t="str">
        <f ca="1">IF(IFERROR(_xludf.aggregate(15,6,(ROW('📋 ORDERS'!$B$4:$B$675)-3)/(IF($B$4="SKF Order",'📋 ORDERS'!$C$4:$C$675,IF($B$4="TATA Order",'📋 ORDERS'!$D$4:$D$675,IF($B$4="Vulcan PO",'📋 ORDERS'!$E$4:$E$675,'📋 ORDERS'!$Q$4:$Q$675)))=$K$4),26),0)=0,"",IFERROR(INDEX('📋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ORDERS'!$Q$4:$Q$675)))=$K$4),26),0)),""))</f>
        <v/>
      </c>
      <c r="D48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ORDERS'!$Q$4:$Q$675)))=$K$4),26),0)=0,"",IFERROR(INDEX('📋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ORDERS'!$Q$4:$Q$675)))=$K$4),26),0)),""))</f>
        <v/>
      </c>
      <c r="E48" s="204"/>
      <c r="F48" s="89" t="str">
        <f ca="1">IF(IFERROR(_xludf.aggregate(15,6,(ROW('📋 ORDERS'!$B$4:$B$675)-3)/(IF($B$4="SKF Order",'📋 ORDERS'!$C$4:$C$675,IF($B$4="TATA Order",'📋 ORDERS'!$D$4:$D$675,IF($B$4="Vulcan PO",'📋 ORDERS'!$E$4:$E$675,'📋 ORDERS'!$Q$4:$Q$675)))=$K$4),26),0)=0,"",IFERROR(INDEX('📋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ORDERS'!$Q$4:$Q$675)))=$K$4),26),0)),""))</f>
        <v/>
      </c>
      <c r="G48" s="90" t="str">
        <f ca="1">IF(IFERROR(_xludf.aggregate(15,6,(ROW('📋 ORDERS'!$B$4:$B$675)-3)/(IF($B$4="SKF Order",'📋 ORDERS'!$C$4:$C$675,IF($B$4="TATA Order",'📋 ORDERS'!$D$4:$D$675,IF($B$4="Vulcan PO",'📋 ORDERS'!$E$4:$E$675,'📋 ORDERS'!$Q$4:$Q$675)))=$K$4),26),0)=0,"",IFERROR(INDEX('📋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ORDERS'!$Q$4:$Q$675)))=$K$4),26),0)),""))</f>
        <v/>
      </c>
      <c r="H48" s="91" t="str">
        <f ca="1">IF(IFERROR(_xludf.aggregate(15,6,(ROW('📋 ORDERS'!$B$4:$B$675)-3)/(IF($B$4="SKF Order",'📋 ORDERS'!$C$4:$C$675,IF($B$4="TATA Order",'📋 ORDERS'!$D$4:$D$675,IF($B$4="Vulcan PO",'📋 ORDERS'!$E$4:$E$675,'📋 ORDERS'!$Q$4:$Q$675)))=$K$4),26),0)=0,"",IFERROR(INDEX('📋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ORDERS'!$Q$4:$Q$675)))=$K$4),26),0)),""))</f>
        <v/>
      </c>
      <c r="I48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ORDERS'!$Q$4:$Q$675)))=$K$4),26),0)=0,"",IFERROR(INDEX('📋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ORDERS'!$Q$4:$Q$675)))=$K$4),26),0)),""))</f>
        <v/>
      </c>
      <c r="J48" s="92" t="str">
        <f ca="1">IF(IFERROR(_xludf.aggregate(15,6,(ROW('📋 ORDERS'!$B$4:$B$675)-3)/(IF($B$4="SKF Order",'📋 ORDERS'!$C$4:$C$675,IF($B$4="TATA Order",'📋 ORDERS'!$D$4:$D$675,IF($B$4="Vulcan PO",'📋 ORDERS'!$E$4:$E$675,'📋 ORDERS'!$Q$4:$Q$675)))=$K$4),26),0)=0,"",IFERROR(INDEX('📋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ORDERS'!$Q$4:$Q$675)))=$K$4),26),0)),""))</f>
        <v/>
      </c>
    </row>
    <row r="49" spans="2:10" ht="15.75" hidden="1" customHeight="1" x14ac:dyDescent="0.35">
      <c r="B49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ORDERS'!$Q$4:$Q$675)))=$K$4),27),0)=0,"",27)</f>
        <v/>
      </c>
      <c r="C49" s="82" t="str">
        <f ca="1">IF(IFERROR(_xludf.aggregate(15,6,(ROW('📋 ORDERS'!$B$4:$B$675)-3)/(IF($B$4="SKF Order",'📋 ORDERS'!$C$4:$C$675,IF($B$4="TATA Order",'📋 ORDERS'!$D$4:$D$675,IF($B$4="Vulcan PO",'📋 ORDERS'!$E$4:$E$675,'📋 ORDERS'!$Q$4:$Q$675)))=$K$4),27),0)=0,"",IFERROR(INDEX('📋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ORDERS'!$Q$4:$Q$675)))=$K$4),27),0)),""))</f>
        <v/>
      </c>
      <c r="D49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ORDERS'!$Q$4:$Q$675)))=$K$4),27),0)=0,"",IFERROR(INDEX('📋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ORDERS'!$Q$4:$Q$675)))=$K$4),27),0)),""))</f>
        <v/>
      </c>
      <c r="E49" s="203"/>
      <c r="F49" s="83" t="str">
        <f ca="1">IF(IFERROR(_xludf.aggregate(15,6,(ROW('📋 ORDERS'!$B$4:$B$675)-3)/(IF($B$4="SKF Order",'📋 ORDERS'!$C$4:$C$675,IF($B$4="TATA Order",'📋 ORDERS'!$D$4:$D$675,IF($B$4="Vulcan PO",'📋 ORDERS'!$E$4:$E$675,'📋 ORDERS'!$Q$4:$Q$675)))=$K$4),27),0)=0,"",IFERROR(INDEX('📋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ORDERS'!$Q$4:$Q$675)))=$K$4),27),0)),""))</f>
        <v/>
      </c>
      <c r="G49" s="84" t="str">
        <f ca="1">IF(IFERROR(_xludf.aggregate(15,6,(ROW('📋 ORDERS'!$B$4:$B$675)-3)/(IF($B$4="SKF Order",'📋 ORDERS'!$C$4:$C$675,IF($B$4="TATA Order",'📋 ORDERS'!$D$4:$D$675,IF($B$4="Vulcan PO",'📋 ORDERS'!$E$4:$E$675,'📋 ORDERS'!$Q$4:$Q$675)))=$K$4),27),0)=0,"",IFERROR(INDEX('📋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ORDERS'!$Q$4:$Q$675)))=$K$4),27),0)),""))</f>
        <v/>
      </c>
      <c r="H49" s="85" t="str">
        <f ca="1">IF(IFERROR(_xludf.aggregate(15,6,(ROW('📋 ORDERS'!$B$4:$B$675)-3)/(IF($B$4="SKF Order",'📋 ORDERS'!$C$4:$C$675,IF($B$4="TATA Order",'📋 ORDERS'!$D$4:$D$675,IF($B$4="Vulcan PO",'📋 ORDERS'!$E$4:$E$675,'📋 ORDERS'!$Q$4:$Q$675)))=$K$4),27),0)=0,"",IFERROR(INDEX('📋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ORDERS'!$Q$4:$Q$675)))=$K$4),27),0)),""))</f>
        <v/>
      </c>
      <c r="I49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ORDERS'!$Q$4:$Q$675)))=$K$4),27),0)=0,"",IFERROR(INDEX('📋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ORDERS'!$Q$4:$Q$675)))=$K$4),27),0)),""))</f>
        <v/>
      </c>
      <c r="J49" s="86" t="str">
        <f ca="1">IF(IFERROR(_xludf.aggregate(15,6,(ROW('📋 ORDERS'!$B$4:$B$675)-3)/(IF($B$4="SKF Order",'📋 ORDERS'!$C$4:$C$675,IF($B$4="TATA Order",'📋 ORDERS'!$D$4:$D$675,IF($B$4="Vulcan PO",'📋 ORDERS'!$E$4:$E$675,'📋 ORDERS'!$Q$4:$Q$675)))=$K$4),27),0)=0,"",IFERROR(INDEX('📋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ORDERS'!$Q$4:$Q$675)))=$K$4),27),0)),""))</f>
        <v/>
      </c>
    </row>
    <row r="50" spans="2:10" ht="15.75" hidden="1" customHeight="1" x14ac:dyDescent="0.35">
      <c r="B50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ORDERS'!$Q$4:$Q$675)))=$K$4),28),0)=0,"",28)</f>
        <v/>
      </c>
      <c r="C50" s="88" t="str">
        <f ca="1">IF(IFERROR(_xludf.aggregate(15,6,(ROW('📋 ORDERS'!$B$4:$B$675)-3)/(IF($B$4="SKF Order",'📋 ORDERS'!$C$4:$C$675,IF($B$4="TATA Order",'📋 ORDERS'!$D$4:$D$675,IF($B$4="Vulcan PO",'📋 ORDERS'!$E$4:$E$675,'📋 ORDERS'!$Q$4:$Q$675)))=$K$4),28),0)=0,"",IFERROR(INDEX('📋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ORDERS'!$Q$4:$Q$675)))=$K$4),28),0)),""))</f>
        <v/>
      </c>
      <c r="D50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ORDERS'!$Q$4:$Q$675)))=$K$4),28),0)=0,"",IFERROR(INDEX('📋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ORDERS'!$Q$4:$Q$675)))=$K$4),28),0)),""))</f>
        <v/>
      </c>
      <c r="E50" s="204"/>
      <c r="F50" s="89" t="str">
        <f ca="1">IF(IFERROR(_xludf.aggregate(15,6,(ROW('📋 ORDERS'!$B$4:$B$675)-3)/(IF($B$4="SKF Order",'📋 ORDERS'!$C$4:$C$675,IF($B$4="TATA Order",'📋 ORDERS'!$D$4:$D$675,IF($B$4="Vulcan PO",'📋 ORDERS'!$E$4:$E$675,'📋 ORDERS'!$Q$4:$Q$675)))=$K$4),28),0)=0,"",IFERROR(INDEX('📋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ORDERS'!$Q$4:$Q$675)))=$K$4),28),0)),""))</f>
        <v/>
      </c>
      <c r="G50" s="90" t="str">
        <f ca="1">IF(IFERROR(_xludf.aggregate(15,6,(ROW('📋 ORDERS'!$B$4:$B$675)-3)/(IF($B$4="SKF Order",'📋 ORDERS'!$C$4:$C$675,IF($B$4="TATA Order",'📋 ORDERS'!$D$4:$D$675,IF($B$4="Vulcan PO",'📋 ORDERS'!$E$4:$E$675,'📋 ORDERS'!$Q$4:$Q$675)))=$K$4),28),0)=0,"",IFERROR(INDEX('📋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ORDERS'!$Q$4:$Q$675)))=$K$4),28),0)),""))</f>
        <v/>
      </c>
      <c r="H50" s="91" t="str">
        <f ca="1">IF(IFERROR(_xludf.aggregate(15,6,(ROW('📋 ORDERS'!$B$4:$B$675)-3)/(IF($B$4="SKF Order",'📋 ORDERS'!$C$4:$C$675,IF($B$4="TATA Order",'📋 ORDERS'!$D$4:$D$675,IF($B$4="Vulcan PO",'📋 ORDERS'!$E$4:$E$675,'📋 ORDERS'!$Q$4:$Q$675)))=$K$4),28),0)=0,"",IFERROR(INDEX('📋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ORDERS'!$Q$4:$Q$675)))=$K$4),28),0)),""))</f>
        <v/>
      </c>
      <c r="I50" s="87" t="str">
        <f ca="1">IF(IFERROR(_xludf.aggregate(15,6,(ROW('📋 ORDERS'!$B$4:$B$675)-3)/(IF($B$4="SKF Order",'📋 ORDERS'!$C$4:$C$675,IF($B$4="TATA Order",'📋 ORDERS'!$D$4:$D$675,IF($B$4="Vulcan PO",'📋 ORDERS'!$E$4:$E$675,'📋 ORDERS'!$Q$4:$Q$675)))=$K$4),28),0)=0,"",IFERROR(INDEX('📋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ORDERS'!$Q$4:$Q$675)))=$K$4),28),0)),""))</f>
        <v/>
      </c>
      <c r="J50" s="92" t="str">
        <f ca="1">IF(IFERROR(_xludf.aggregate(15,6,(ROW('📋 ORDERS'!$B$4:$B$675)-3)/(IF($B$4="SKF Order",'📋 ORDERS'!$C$4:$C$675,IF($B$4="TATA Order",'📋 ORDERS'!$D$4:$D$675,IF($B$4="Vulcan PO",'📋 ORDERS'!$E$4:$E$675,'📋 ORDERS'!$Q$4:$Q$675)))=$K$4),28),0)=0,"",IFERROR(INDEX('📋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ORDERS'!$Q$4:$Q$675)))=$K$4),28),0)),""))</f>
        <v/>
      </c>
    </row>
    <row r="51" spans="2:10" ht="15.75" hidden="1" customHeight="1" x14ac:dyDescent="0.35">
      <c r="B51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ORDERS'!$Q$4:$Q$675)))=$K$4),29),0)=0,"",29)</f>
        <v/>
      </c>
      <c r="C51" s="82" t="str">
        <f ca="1">IF(IFERROR(_xludf.aggregate(15,6,(ROW('📋 ORDERS'!$B$4:$B$675)-3)/(IF($B$4="SKF Order",'📋 ORDERS'!$C$4:$C$675,IF($B$4="TATA Order",'📋 ORDERS'!$D$4:$D$675,IF($B$4="Vulcan PO",'📋 ORDERS'!$E$4:$E$675,'📋 ORDERS'!$Q$4:$Q$675)))=$K$4),29),0)=0,"",IFERROR(INDEX('📋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ORDERS'!$Q$4:$Q$675)))=$K$4),29),0)),""))</f>
        <v/>
      </c>
      <c r="D51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ORDERS'!$Q$4:$Q$675)))=$K$4),29),0)=0,"",IFERROR(INDEX('📋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ORDERS'!$Q$4:$Q$675)))=$K$4),29),0)),""))</f>
        <v/>
      </c>
      <c r="E51" s="203"/>
      <c r="F51" s="83" t="str">
        <f ca="1">IF(IFERROR(_xludf.aggregate(15,6,(ROW('📋 ORDERS'!$B$4:$B$675)-3)/(IF($B$4="SKF Order",'📋 ORDERS'!$C$4:$C$675,IF($B$4="TATA Order",'📋 ORDERS'!$D$4:$D$675,IF($B$4="Vulcan PO",'📋 ORDERS'!$E$4:$E$675,'📋 ORDERS'!$Q$4:$Q$675)))=$K$4),29),0)=0,"",IFERROR(INDEX('📋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ORDERS'!$Q$4:$Q$675)))=$K$4),29),0)),""))</f>
        <v/>
      </c>
      <c r="G51" s="84" t="str">
        <f ca="1">IF(IFERROR(_xludf.aggregate(15,6,(ROW('📋 ORDERS'!$B$4:$B$675)-3)/(IF($B$4="SKF Order",'📋 ORDERS'!$C$4:$C$675,IF($B$4="TATA Order",'📋 ORDERS'!$D$4:$D$675,IF($B$4="Vulcan PO",'📋 ORDERS'!$E$4:$E$675,'📋 ORDERS'!$Q$4:$Q$675)))=$K$4),29),0)=0,"",IFERROR(INDEX('📋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ORDERS'!$Q$4:$Q$675)))=$K$4),29),0)),""))</f>
        <v/>
      </c>
      <c r="H51" s="85" t="str">
        <f ca="1">IF(IFERROR(_xludf.aggregate(15,6,(ROW('📋 ORDERS'!$B$4:$B$675)-3)/(IF($B$4="SKF Order",'📋 ORDERS'!$C$4:$C$675,IF($B$4="TATA Order",'📋 ORDERS'!$D$4:$D$675,IF($B$4="Vulcan PO",'📋 ORDERS'!$E$4:$E$675,'📋 ORDERS'!$Q$4:$Q$675)))=$K$4),29),0)=0,"",IFERROR(INDEX('📋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ORDERS'!$Q$4:$Q$675)))=$K$4),29),0)),""))</f>
        <v/>
      </c>
      <c r="I51" s="81" t="str">
        <f ca="1">IF(IFERROR(_xludf.aggregate(15,6,(ROW('📋 ORDERS'!$B$4:$B$675)-3)/(IF($B$4="SKF Order",'📋 ORDERS'!$C$4:$C$675,IF($B$4="TATA Order",'📋 ORDERS'!$D$4:$D$675,IF($B$4="Vulcan PO",'📋 ORDERS'!$E$4:$E$675,'📋 ORDERS'!$Q$4:$Q$675)))=$K$4),29),0)=0,"",IFERROR(INDEX('📋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ORDERS'!$Q$4:$Q$675)))=$K$4),29),0)),""))</f>
        <v/>
      </c>
      <c r="J51" s="86" t="str">
        <f ca="1">IF(IFERROR(_xludf.aggregate(15,6,(ROW('📋 ORDERS'!$B$4:$B$675)-3)/(IF($B$4="SKF Order",'📋 ORDERS'!$C$4:$C$675,IF($B$4="TATA Order",'📋 ORDERS'!$D$4:$D$675,IF($B$4="Vulcan PO",'📋 ORDERS'!$E$4:$E$675,'📋 ORDERS'!$Q$4:$Q$675)))=$K$4),29),0)=0,"",IFERROR(INDEX('📋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ORDERS'!$Q$4:$Q$675)))=$K$4),29),0)),""))</f>
        <v/>
      </c>
    </row>
    <row r="52" spans="2:10" ht="15.75" hidden="1" customHeight="1" x14ac:dyDescent="0.35">
      <c r="B52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ORDERS'!$Q$4:$Q$675)))=$K$4),30),0)=0,"",30)</f>
        <v/>
      </c>
      <c r="C52" s="88" t="str">
        <f ca="1">IF(IFERROR(_xludf.aggregate(15,6,(ROW('📋 ORDERS'!$B$4:$B$675)-3)/(IF($B$4="SKF Order",'📋 ORDERS'!$C$4:$C$675,IF($B$4="TATA Order",'📋 ORDERS'!$D$4:$D$675,IF($B$4="Vulcan PO",'📋 ORDERS'!$E$4:$E$675,'📋 ORDERS'!$Q$4:$Q$675)))=$K$4),30),0)=0,"",IFERROR(INDEX('📋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ORDERS'!$Q$4:$Q$675)))=$K$4),30),0)),""))</f>
        <v/>
      </c>
      <c r="D52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ORDERS'!$Q$4:$Q$675)))=$K$4),30),0)=0,"",IFERROR(INDEX('📋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ORDERS'!$Q$4:$Q$675)))=$K$4),30),0)),""))</f>
        <v/>
      </c>
      <c r="E52" s="204"/>
      <c r="F52" s="89" t="str">
        <f ca="1">IF(IFERROR(_xludf.aggregate(15,6,(ROW('📋 ORDERS'!$B$4:$B$675)-3)/(IF($B$4="SKF Order",'📋 ORDERS'!$C$4:$C$675,IF($B$4="TATA Order",'📋 ORDERS'!$D$4:$D$675,IF($B$4="Vulcan PO",'📋 ORDERS'!$E$4:$E$675,'📋 ORDERS'!$Q$4:$Q$675)))=$K$4),30),0)=0,"",IFERROR(INDEX('📋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ORDERS'!$Q$4:$Q$675)))=$K$4),30),0)),""))</f>
        <v/>
      </c>
      <c r="G52" s="90" t="str">
        <f ca="1">IF(IFERROR(_xludf.aggregate(15,6,(ROW('📋 ORDERS'!$B$4:$B$675)-3)/(IF($B$4="SKF Order",'📋 ORDERS'!$C$4:$C$675,IF($B$4="TATA Order",'📋 ORDERS'!$D$4:$D$675,IF($B$4="Vulcan PO",'📋 ORDERS'!$E$4:$E$675,'📋 ORDERS'!$Q$4:$Q$675)))=$K$4),30),0)=0,"",IFERROR(INDEX('📋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ORDERS'!$Q$4:$Q$675)))=$K$4),30),0)),""))</f>
        <v/>
      </c>
      <c r="H52" s="91" t="str">
        <f ca="1">IF(IFERROR(_xludf.aggregate(15,6,(ROW('📋 ORDERS'!$B$4:$B$675)-3)/(IF($B$4="SKF Order",'📋 ORDERS'!$C$4:$C$675,IF($B$4="TATA Order",'📋 ORDERS'!$D$4:$D$675,IF($B$4="Vulcan PO",'📋 ORDERS'!$E$4:$E$675,'📋 ORDERS'!$Q$4:$Q$675)))=$K$4),30),0)=0,"",IFERROR(INDEX('📋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ORDERS'!$Q$4:$Q$675)))=$K$4),30),0)),""))</f>
        <v/>
      </c>
      <c r="I52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ORDERS'!$Q$4:$Q$675)))=$K$4),30),0)=0,"",IFERROR(INDEX('📋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ORDERS'!$Q$4:$Q$675)))=$K$4),30),0)),""))</f>
        <v/>
      </c>
      <c r="J52" s="92" t="str">
        <f ca="1">IF(IFERROR(_xludf.aggregate(15,6,(ROW('📋 ORDERS'!$B$4:$B$675)-3)/(IF($B$4="SKF Order",'📋 ORDERS'!$C$4:$C$675,IF($B$4="TATA Order",'📋 ORDERS'!$D$4:$D$675,IF($B$4="Vulcan PO",'📋 ORDERS'!$E$4:$E$675,'📋 ORDERS'!$Q$4:$Q$675)))=$K$4),30),0)=0,"",IFERROR(INDEX('📋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ORDERS'!$Q$4:$Q$675)))=$K$4),30),0)),""))</f>
        <v/>
      </c>
    </row>
    <row r="53" spans="2:10" ht="15.75" hidden="1" customHeight="1" x14ac:dyDescent="0.35">
      <c r="B53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ORDERS'!$Q$4:$Q$675)))=$K$4),31),0)=0,"",31)</f>
        <v/>
      </c>
      <c r="C53" s="82" t="str">
        <f ca="1">IF(IFERROR(_xludf.aggregate(15,6,(ROW('📋 ORDERS'!$B$4:$B$675)-3)/(IF($B$4="SKF Order",'📋 ORDERS'!$C$4:$C$675,IF($B$4="TATA Order",'📋 ORDERS'!$D$4:$D$675,IF($B$4="Vulcan PO",'📋 ORDERS'!$E$4:$E$675,'📋 ORDERS'!$Q$4:$Q$675)))=$K$4),31),0)=0,"",IFERROR(INDEX('📋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ORDERS'!$Q$4:$Q$675)))=$K$4),31),0)),""))</f>
        <v/>
      </c>
      <c r="D53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ORDERS'!$Q$4:$Q$675)))=$K$4),31),0)=0,"",IFERROR(INDEX('📋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ORDERS'!$Q$4:$Q$675)))=$K$4),31),0)),""))</f>
        <v/>
      </c>
      <c r="E53" s="203"/>
      <c r="F53" s="83" t="str">
        <f ca="1">IF(IFERROR(_xludf.aggregate(15,6,(ROW('📋 ORDERS'!$B$4:$B$675)-3)/(IF($B$4="SKF Order",'📋 ORDERS'!$C$4:$C$675,IF($B$4="TATA Order",'📋 ORDERS'!$D$4:$D$675,IF($B$4="Vulcan PO",'📋 ORDERS'!$E$4:$E$675,'📋 ORDERS'!$Q$4:$Q$675)))=$K$4),31),0)=0,"",IFERROR(INDEX('📋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ORDERS'!$Q$4:$Q$675)))=$K$4),31),0)),""))</f>
        <v/>
      </c>
      <c r="G53" s="84" t="str">
        <f ca="1">IF(IFERROR(_xludf.aggregate(15,6,(ROW('📋 ORDERS'!$B$4:$B$675)-3)/(IF($B$4="SKF Order",'📋 ORDERS'!$C$4:$C$675,IF($B$4="TATA Order",'📋 ORDERS'!$D$4:$D$675,IF($B$4="Vulcan PO",'📋 ORDERS'!$E$4:$E$675,'📋 ORDERS'!$Q$4:$Q$675)))=$K$4),31),0)=0,"",IFERROR(INDEX('📋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ORDERS'!$Q$4:$Q$675)))=$K$4),31),0)),""))</f>
        <v/>
      </c>
      <c r="H53" s="85" t="str">
        <f ca="1">IF(IFERROR(_xludf.aggregate(15,6,(ROW('📋 ORDERS'!$B$4:$B$675)-3)/(IF($B$4="SKF Order",'📋 ORDERS'!$C$4:$C$675,IF($B$4="TATA Order",'📋 ORDERS'!$D$4:$D$675,IF($B$4="Vulcan PO",'📋 ORDERS'!$E$4:$E$675,'📋 ORDERS'!$Q$4:$Q$675)))=$K$4),31),0)=0,"",IFERROR(INDEX('📋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ORDERS'!$Q$4:$Q$675)))=$K$4),31),0)),""))</f>
        <v/>
      </c>
      <c r="I53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ORDERS'!$Q$4:$Q$675)))=$K$4),31),0)=0,"",IFERROR(INDEX('📋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ORDERS'!$Q$4:$Q$675)))=$K$4),31),0)),""))</f>
        <v/>
      </c>
      <c r="J53" s="86" t="str">
        <f ca="1">IF(IFERROR(_xludf.aggregate(15,6,(ROW('📋 ORDERS'!$B$4:$B$675)-3)/(IF($B$4="SKF Order",'📋 ORDERS'!$C$4:$C$675,IF($B$4="TATA Order",'📋 ORDERS'!$D$4:$D$675,IF($B$4="Vulcan PO",'📋 ORDERS'!$E$4:$E$675,'📋 ORDERS'!$Q$4:$Q$675)))=$K$4),31),0)=0,"",IFERROR(INDEX('📋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ORDERS'!$Q$4:$Q$675)))=$K$4),31),0)),""))</f>
        <v/>
      </c>
    </row>
    <row r="54" spans="2:10" ht="15.75" hidden="1" customHeight="1" x14ac:dyDescent="0.35">
      <c r="B54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ORDERS'!$Q$4:$Q$675)))=$K$4),32),0)=0,"",32)</f>
        <v/>
      </c>
      <c r="C54" s="88" t="str">
        <f ca="1">IF(IFERROR(_xludf.aggregate(15,6,(ROW('📋 ORDERS'!$B$4:$B$675)-3)/(IF($B$4="SKF Order",'📋 ORDERS'!$C$4:$C$675,IF($B$4="TATA Order",'📋 ORDERS'!$D$4:$D$675,IF($B$4="Vulcan PO",'📋 ORDERS'!$E$4:$E$675,'📋 ORDERS'!$Q$4:$Q$675)))=$K$4),32),0)=0,"",IFERROR(INDEX('📋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ORDERS'!$Q$4:$Q$675)))=$K$4),32),0)),""))</f>
        <v/>
      </c>
      <c r="D54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ORDERS'!$Q$4:$Q$675)))=$K$4),32),0)=0,"",IFERROR(INDEX('📋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ORDERS'!$Q$4:$Q$675)))=$K$4),32),0)),""))</f>
        <v/>
      </c>
      <c r="E54" s="204"/>
      <c r="F54" s="89" t="str">
        <f ca="1">IF(IFERROR(_xludf.aggregate(15,6,(ROW('📋 ORDERS'!$B$4:$B$675)-3)/(IF($B$4="SKF Order",'📋 ORDERS'!$C$4:$C$675,IF($B$4="TATA Order",'📋 ORDERS'!$D$4:$D$675,IF($B$4="Vulcan PO",'📋 ORDERS'!$E$4:$E$675,'📋 ORDERS'!$Q$4:$Q$675)))=$K$4),32),0)=0,"",IFERROR(INDEX('📋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ORDERS'!$Q$4:$Q$675)))=$K$4),32),0)),""))</f>
        <v/>
      </c>
      <c r="G54" s="90" t="str">
        <f ca="1">IF(IFERROR(_xludf.aggregate(15,6,(ROW('📋 ORDERS'!$B$4:$B$675)-3)/(IF($B$4="SKF Order",'📋 ORDERS'!$C$4:$C$675,IF($B$4="TATA Order",'📋 ORDERS'!$D$4:$D$675,IF($B$4="Vulcan PO",'📋 ORDERS'!$E$4:$E$675,'📋 ORDERS'!$Q$4:$Q$675)))=$K$4),32),0)=0,"",IFERROR(INDEX('📋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ORDERS'!$Q$4:$Q$675)))=$K$4),32),0)),""))</f>
        <v/>
      </c>
      <c r="H54" s="91" t="str">
        <f ca="1">IF(IFERROR(_xludf.aggregate(15,6,(ROW('📋 ORDERS'!$B$4:$B$675)-3)/(IF($B$4="SKF Order",'📋 ORDERS'!$C$4:$C$675,IF($B$4="TATA Order",'📋 ORDERS'!$D$4:$D$675,IF($B$4="Vulcan PO",'📋 ORDERS'!$E$4:$E$675,'📋 ORDERS'!$Q$4:$Q$675)))=$K$4),32),0)=0,"",IFERROR(INDEX('📋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ORDERS'!$Q$4:$Q$675)))=$K$4),32),0)),""))</f>
        <v/>
      </c>
      <c r="I54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ORDERS'!$Q$4:$Q$675)))=$K$4),32),0)=0,"",IFERROR(INDEX('📋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ORDERS'!$Q$4:$Q$675)))=$K$4),32),0)),""))</f>
        <v/>
      </c>
      <c r="J54" s="92" t="str">
        <f ca="1">IF(IFERROR(_xludf.aggregate(15,6,(ROW('📋 ORDERS'!$B$4:$B$675)-3)/(IF($B$4="SKF Order",'📋 ORDERS'!$C$4:$C$675,IF($B$4="TATA Order",'📋 ORDERS'!$D$4:$D$675,IF($B$4="Vulcan PO",'📋 ORDERS'!$E$4:$E$675,'📋 ORDERS'!$Q$4:$Q$675)))=$K$4),32),0)=0,"",IFERROR(INDEX('📋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ORDERS'!$Q$4:$Q$675)))=$K$4),32),0)),""))</f>
        <v/>
      </c>
    </row>
    <row r="55" spans="2:10" ht="15.75" hidden="1" customHeight="1" x14ac:dyDescent="0.35">
      <c r="B55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ORDERS'!$Q$4:$Q$675)))=$K$4),33),0)=0,"",33)</f>
        <v/>
      </c>
      <c r="C55" s="82" t="str">
        <f ca="1">IF(IFERROR(_xludf.aggregate(15,6,(ROW('📋 ORDERS'!$B$4:$B$675)-3)/(IF($B$4="SKF Order",'📋 ORDERS'!$C$4:$C$675,IF($B$4="TATA Order",'📋 ORDERS'!$D$4:$D$675,IF($B$4="Vulcan PO",'📋 ORDERS'!$E$4:$E$675,'📋 ORDERS'!$Q$4:$Q$675)))=$K$4),33),0)=0,"",IFERROR(INDEX('📋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ORDERS'!$Q$4:$Q$675)))=$K$4),33),0)),""))</f>
        <v/>
      </c>
      <c r="D55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ORDERS'!$Q$4:$Q$675)))=$K$4),33),0)=0,"",IFERROR(INDEX('📋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ORDERS'!$Q$4:$Q$675)))=$K$4),33),0)),""))</f>
        <v/>
      </c>
      <c r="E55" s="203"/>
      <c r="F55" s="83" t="str">
        <f ca="1">IF(IFERROR(_xludf.aggregate(15,6,(ROW('📋 ORDERS'!$B$4:$B$675)-3)/(IF($B$4="SKF Order",'📋 ORDERS'!$C$4:$C$675,IF($B$4="TATA Order",'📋 ORDERS'!$D$4:$D$675,IF($B$4="Vulcan PO",'📋 ORDERS'!$E$4:$E$675,'📋 ORDERS'!$Q$4:$Q$675)))=$K$4),33),0)=0,"",IFERROR(INDEX('📋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ORDERS'!$Q$4:$Q$675)))=$K$4),33),0)),""))</f>
        <v/>
      </c>
      <c r="G55" s="84" t="str">
        <f ca="1">IF(IFERROR(_xludf.aggregate(15,6,(ROW('📋 ORDERS'!$B$4:$B$675)-3)/(IF($B$4="SKF Order",'📋 ORDERS'!$C$4:$C$675,IF($B$4="TATA Order",'📋 ORDERS'!$D$4:$D$675,IF($B$4="Vulcan PO",'📋 ORDERS'!$E$4:$E$675,'📋 ORDERS'!$Q$4:$Q$675)))=$K$4),33),0)=0,"",IFERROR(INDEX('📋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ORDERS'!$Q$4:$Q$675)))=$K$4),33),0)),""))</f>
        <v/>
      </c>
      <c r="H55" s="85" t="str">
        <f ca="1">IF(IFERROR(_xludf.aggregate(15,6,(ROW('📋 ORDERS'!$B$4:$B$675)-3)/(IF($B$4="SKF Order",'📋 ORDERS'!$C$4:$C$675,IF($B$4="TATA Order",'📋 ORDERS'!$D$4:$D$675,IF($B$4="Vulcan PO",'📋 ORDERS'!$E$4:$E$675,'📋 ORDERS'!$Q$4:$Q$675)))=$K$4),33),0)=0,"",IFERROR(INDEX('📋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ORDERS'!$Q$4:$Q$675)))=$K$4),33),0)),""))</f>
        <v/>
      </c>
      <c r="I55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ORDERS'!$Q$4:$Q$675)))=$K$4),33),0)=0,"",IFERROR(INDEX('📋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ORDERS'!$Q$4:$Q$675)))=$K$4),33),0)),""))</f>
        <v/>
      </c>
      <c r="J55" s="86" t="str">
        <f ca="1">IF(IFERROR(_xludf.aggregate(15,6,(ROW('📋 ORDERS'!$B$4:$B$675)-3)/(IF($B$4="SKF Order",'📋 ORDERS'!$C$4:$C$675,IF($B$4="TATA Order",'📋 ORDERS'!$D$4:$D$675,IF($B$4="Vulcan PO",'📋 ORDERS'!$E$4:$E$675,'📋 ORDERS'!$Q$4:$Q$675)))=$K$4),33),0)=0,"",IFERROR(INDEX('📋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ORDERS'!$Q$4:$Q$675)))=$K$4),33),0)),""))</f>
        <v/>
      </c>
    </row>
    <row r="56" spans="2:10" ht="15.75" hidden="1" customHeight="1" x14ac:dyDescent="0.35">
      <c r="B56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ORDERS'!$Q$4:$Q$675)))=$K$4),34),0)=0,"",34)</f>
        <v/>
      </c>
      <c r="C56" s="88" t="str">
        <f ca="1">IF(IFERROR(_xludf.aggregate(15,6,(ROW('📋 ORDERS'!$B$4:$B$675)-3)/(IF($B$4="SKF Order",'📋 ORDERS'!$C$4:$C$675,IF($B$4="TATA Order",'📋 ORDERS'!$D$4:$D$675,IF($B$4="Vulcan PO",'📋 ORDERS'!$E$4:$E$675,'📋 ORDERS'!$Q$4:$Q$675)))=$K$4),34),0)=0,"",IFERROR(INDEX('📋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ORDERS'!$Q$4:$Q$675)))=$K$4),34),0)),""))</f>
        <v/>
      </c>
      <c r="D56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ORDERS'!$Q$4:$Q$675)))=$K$4),34),0)=0,"",IFERROR(INDEX('📋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ORDERS'!$Q$4:$Q$675)))=$K$4),34),0)),""))</f>
        <v/>
      </c>
      <c r="E56" s="204"/>
      <c r="F56" s="89" t="str">
        <f ca="1">IF(IFERROR(_xludf.aggregate(15,6,(ROW('📋 ORDERS'!$B$4:$B$675)-3)/(IF($B$4="SKF Order",'📋 ORDERS'!$C$4:$C$675,IF($B$4="TATA Order",'📋 ORDERS'!$D$4:$D$675,IF($B$4="Vulcan PO",'📋 ORDERS'!$E$4:$E$675,'📋 ORDERS'!$Q$4:$Q$675)))=$K$4),34),0)=0,"",IFERROR(INDEX('📋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ORDERS'!$Q$4:$Q$675)))=$K$4),34),0)),""))</f>
        <v/>
      </c>
      <c r="G56" s="90" t="str">
        <f ca="1">IF(IFERROR(_xludf.aggregate(15,6,(ROW('📋 ORDERS'!$B$4:$B$675)-3)/(IF($B$4="SKF Order",'📋 ORDERS'!$C$4:$C$675,IF($B$4="TATA Order",'📋 ORDERS'!$D$4:$D$675,IF($B$4="Vulcan PO",'📋 ORDERS'!$E$4:$E$675,'📋 ORDERS'!$Q$4:$Q$675)))=$K$4),34),0)=0,"",IFERROR(INDEX('📋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ORDERS'!$Q$4:$Q$675)))=$K$4),34),0)),""))</f>
        <v/>
      </c>
      <c r="H56" s="91" t="str">
        <f ca="1">IF(IFERROR(_xludf.aggregate(15,6,(ROW('📋 ORDERS'!$B$4:$B$675)-3)/(IF($B$4="SKF Order",'📋 ORDERS'!$C$4:$C$675,IF($B$4="TATA Order",'📋 ORDERS'!$D$4:$D$675,IF($B$4="Vulcan PO",'📋 ORDERS'!$E$4:$E$675,'📋 ORDERS'!$Q$4:$Q$675)))=$K$4),34),0)=0,"",IFERROR(INDEX('📋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ORDERS'!$Q$4:$Q$675)))=$K$4),34),0)),""))</f>
        <v/>
      </c>
      <c r="I56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ORDERS'!$Q$4:$Q$675)))=$K$4),34),0)=0,"",IFERROR(INDEX('📋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ORDERS'!$Q$4:$Q$675)))=$K$4),34),0)),""))</f>
        <v/>
      </c>
      <c r="J56" s="92" t="str">
        <f ca="1">IF(IFERROR(_xludf.aggregate(15,6,(ROW('📋 ORDERS'!$B$4:$B$675)-3)/(IF($B$4="SKF Order",'📋 ORDERS'!$C$4:$C$675,IF($B$4="TATA Order",'📋 ORDERS'!$D$4:$D$675,IF($B$4="Vulcan PO",'📋 ORDERS'!$E$4:$E$675,'📋 ORDERS'!$Q$4:$Q$675)))=$K$4),34),0)=0,"",IFERROR(INDEX('📋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ORDERS'!$Q$4:$Q$675)))=$K$4),34),0)),""))</f>
        <v/>
      </c>
    </row>
    <row r="57" spans="2:10" ht="15.75" hidden="1" customHeight="1" x14ac:dyDescent="0.35">
      <c r="B57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ORDERS'!$Q$4:$Q$675)))=$K$4),35),0)=0,"",35)</f>
        <v/>
      </c>
      <c r="C57" s="82" t="str">
        <f ca="1">IF(IFERROR(_xludf.aggregate(15,6,(ROW('📋 ORDERS'!$B$4:$B$675)-3)/(IF($B$4="SKF Order",'📋 ORDERS'!$C$4:$C$675,IF($B$4="TATA Order",'📋 ORDERS'!$D$4:$D$675,IF($B$4="Vulcan PO",'📋 ORDERS'!$E$4:$E$675,'📋 ORDERS'!$Q$4:$Q$675)))=$K$4),35),0)=0,"",IFERROR(INDEX('📋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ORDERS'!$Q$4:$Q$675)))=$K$4),35),0)),""))</f>
        <v/>
      </c>
      <c r="D57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ORDERS'!$Q$4:$Q$675)))=$K$4),35),0)=0,"",IFERROR(INDEX('📋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ORDERS'!$Q$4:$Q$675)))=$K$4),35),0)),""))</f>
        <v/>
      </c>
      <c r="E57" s="203"/>
      <c r="F57" s="83" t="str">
        <f ca="1">IF(IFERROR(_xludf.aggregate(15,6,(ROW('📋 ORDERS'!$B$4:$B$675)-3)/(IF($B$4="SKF Order",'📋 ORDERS'!$C$4:$C$675,IF($B$4="TATA Order",'📋 ORDERS'!$D$4:$D$675,IF($B$4="Vulcan PO",'📋 ORDERS'!$E$4:$E$675,'📋 ORDERS'!$Q$4:$Q$675)))=$K$4),35),0)=0,"",IFERROR(INDEX('📋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ORDERS'!$Q$4:$Q$675)))=$K$4),35),0)),""))</f>
        <v/>
      </c>
      <c r="G57" s="84" t="str">
        <f ca="1">IF(IFERROR(_xludf.aggregate(15,6,(ROW('📋 ORDERS'!$B$4:$B$675)-3)/(IF($B$4="SKF Order",'📋 ORDERS'!$C$4:$C$675,IF($B$4="TATA Order",'📋 ORDERS'!$D$4:$D$675,IF($B$4="Vulcan PO",'📋 ORDERS'!$E$4:$E$675,'📋 ORDERS'!$Q$4:$Q$675)))=$K$4),35),0)=0,"",IFERROR(INDEX('📋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ORDERS'!$Q$4:$Q$675)))=$K$4),35),0)),""))</f>
        <v/>
      </c>
      <c r="H57" s="85" t="str">
        <f ca="1">IF(IFERROR(_xludf.aggregate(15,6,(ROW('📋 ORDERS'!$B$4:$B$675)-3)/(IF($B$4="SKF Order",'📋 ORDERS'!$C$4:$C$675,IF($B$4="TATA Order",'📋 ORDERS'!$D$4:$D$675,IF($B$4="Vulcan PO",'📋 ORDERS'!$E$4:$E$675,'📋 ORDERS'!$Q$4:$Q$675)))=$K$4),35),0)=0,"",IFERROR(INDEX('📋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ORDERS'!$Q$4:$Q$675)))=$K$4),35),0)),""))</f>
        <v/>
      </c>
      <c r="I57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ORDERS'!$Q$4:$Q$675)))=$K$4),35),0)=0,"",IFERROR(INDEX('📋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ORDERS'!$Q$4:$Q$675)))=$K$4),35),0)),""))</f>
        <v/>
      </c>
      <c r="J57" s="86" t="str">
        <f ca="1">IF(IFERROR(_xludf.aggregate(15,6,(ROW('📋 ORDERS'!$B$4:$B$675)-3)/(IF($B$4="SKF Order",'📋 ORDERS'!$C$4:$C$675,IF($B$4="TATA Order",'📋 ORDERS'!$D$4:$D$675,IF($B$4="Vulcan PO",'📋 ORDERS'!$E$4:$E$675,'📋 ORDERS'!$Q$4:$Q$675)))=$K$4),35),0)=0,"",IFERROR(INDEX('📋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ORDERS'!$Q$4:$Q$675)))=$K$4),35),0)),""))</f>
        <v/>
      </c>
    </row>
    <row r="58" spans="2:10" ht="15.75" hidden="1" customHeight="1" x14ac:dyDescent="0.35">
      <c r="B58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ORDERS'!$Q$4:$Q$675)))=$K$4),36),0)=0,"",36)</f>
        <v/>
      </c>
      <c r="C58" s="88" t="str">
        <f ca="1">IF(IFERROR(_xludf.aggregate(15,6,(ROW('📋 ORDERS'!$B$4:$B$675)-3)/(IF($B$4="SKF Order",'📋 ORDERS'!$C$4:$C$675,IF($B$4="TATA Order",'📋 ORDERS'!$D$4:$D$675,IF($B$4="Vulcan PO",'📋 ORDERS'!$E$4:$E$675,'📋 ORDERS'!$Q$4:$Q$675)))=$K$4),36),0)=0,"",IFERROR(INDEX('📋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ORDERS'!$Q$4:$Q$675)))=$K$4),36),0)),""))</f>
        <v/>
      </c>
      <c r="D58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ORDERS'!$Q$4:$Q$675)))=$K$4),36),0)=0,"",IFERROR(INDEX('📋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ORDERS'!$Q$4:$Q$675)))=$K$4),36),0)),""))</f>
        <v/>
      </c>
      <c r="E58" s="204"/>
      <c r="F58" s="89" t="str">
        <f ca="1">IF(IFERROR(_xludf.aggregate(15,6,(ROW('📋 ORDERS'!$B$4:$B$675)-3)/(IF($B$4="SKF Order",'📋 ORDERS'!$C$4:$C$675,IF($B$4="TATA Order",'📋 ORDERS'!$D$4:$D$675,IF($B$4="Vulcan PO",'📋 ORDERS'!$E$4:$E$675,'📋 ORDERS'!$Q$4:$Q$675)))=$K$4),36),0)=0,"",IFERROR(INDEX('📋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ORDERS'!$Q$4:$Q$675)))=$K$4),36),0)),""))</f>
        <v/>
      </c>
      <c r="G58" s="90" t="str">
        <f ca="1">IF(IFERROR(_xludf.aggregate(15,6,(ROW('📋 ORDERS'!$B$4:$B$675)-3)/(IF($B$4="SKF Order",'📋 ORDERS'!$C$4:$C$675,IF($B$4="TATA Order",'📋 ORDERS'!$D$4:$D$675,IF($B$4="Vulcan PO",'📋 ORDERS'!$E$4:$E$675,'📋 ORDERS'!$Q$4:$Q$675)))=$K$4),36),0)=0,"",IFERROR(INDEX('📋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ORDERS'!$Q$4:$Q$675)))=$K$4),36),0)),""))</f>
        <v/>
      </c>
      <c r="H58" s="91" t="str">
        <f ca="1">IF(IFERROR(_xludf.aggregate(15,6,(ROW('📋 ORDERS'!$B$4:$B$675)-3)/(IF($B$4="SKF Order",'📋 ORDERS'!$C$4:$C$675,IF($B$4="TATA Order",'📋 ORDERS'!$D$4:$D$675,IF($B$4="Vulcan PO",'📋 ORDERS'!$E$4:$E$675,'📋 ORDERS'!$Q$4:$Q$675)))=$K$4),36),0)=0,"",IFERROR(INDEX('📋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ORDERS'!$Q$4:$Q$675)))=$K$4),36),0)),""))</f>
        <v/>
      </c>
      <c r="I58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ORDERS'!$Q$4:$Q$675)))=$K$4),36),0)=0,"",IFERROR(INDEX('📋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ORDERS'!$Q$4:$Q$675)))=$K$4),36),0)),""))</f>
        <v/>
      </c>
      <c r="J58" s="92" t="str">
        <f ca="1">IF(IFERROR(_xludf.aggregate(15,6,(ROW('📋 ORDERS'!$B$4:$B$675)-3)/(IF($B$4="SKF Order",'📋 ORDERS'!$C$4:$C$675,IF($B$4="TATA Order",'📋 ORDERS'!$D$4:$D$675,IF($B$4="Vulcan PO",'📋 ORDERS'!$E$4:$E$675,'📋 ORDERS'!$Q$4:$Q$675)))=$K$4),36),0)=0,"",IFERROR(INDEX('📋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ORDERS'!$Q$4:$Q$675)))=$K$4),36),0)),""))</f>
        <v/>
      </c>
    </row>
    <row r="59" spans="2:10" ht="15.75" hidden="1" customHeight="1" x14ac:dyDescent="0.35">
      <c r="B59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ORDERS'!$Q$4:$Q$675)))=$K$4),37),0)=0,"",37)</f>
        <v/>
      </c>
      <c r="C59" s="82" t="str">
        <f ca="1">IF(IFERROR(_xludf.aggregate(15,6,(ROW('📋 ORDERS'!$B$4:$B$675)-3)/(IF($B$4="SKF Order",'📋 ORDERS'!$C$4:$C$675,IF($B$4="TATA Order",'📋 ORDERS'!$D$4:$D$675,IF($B$4="Vulcan PO",'📋 ORDERS'!$E$4:$E$675,'📋 ORDERS'!$Q$4:$Q$675)))=$K$4),37),0)=0,"",IFERROR(INDEX('📋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ORDERS'!$Q$4:$Q$675)))=$K$4),37),0)),""))</f>
        <v/>
      </c>
      <c r="D59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ORDERS'!$Q$4:$Q$675)))=$K$4),37),0)=0,"",IFERROR(INDEX('📋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ORDERS'!$Q$4:$Q$675)))=$K$4),37),0)),""))</f>
        <v/>
      </c>
      <c r="E59" s="203"/>
      <c r="F59" s="83" t="str">
        <f ca="1">IF(IFERROR(_xludf.aggregate(15,6,(ROW('📋 ORDERS'!$B$4:$B$675)-3)/(IF($B$4="SKF Order",'📋 ORDERS'!$C$4:$C$675,IF($B$4="TATA Order",'📋 ORDERS'!$D$4:$D$675,IF($B$4="Vulcan PO",'📋 ORDERS'!$E$4:$E$675,'📋 ORDERS'!$Q$4:$Q$675)))=$K$4),37),0)=0,"",IFERROR(INDEX('📋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ORDERS'!$Q$4:$Q$675)))=$K$4),37),0)),""))</f>
        <v/>
      </c>
      <c r="G59" s="84" t="str">
        <f ca="1">IF(IFERROR(_xludf.aggregate(15,6,(ROW('📋 ORDERS'!$B$4:$B$675)-3)/(IF($B$4="SKF Order",'📋 ORDERS'!$C$4:$C$675,IF($B$4="TATA Order",'📋 ORDERS'!$D$4:$D$675,IF($B$4="Vulcan PO",'📋 ORDERS'!$E$4:$E$675,'📋 ORDERS'!$Q$4:$Q$675)))=$K$4),37),0)=0,"",IFERROR(INDEX('📋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ORDERS'!$Q$4:$Q$675)))=$K$4),37),0)),""))</f>
        <v/>
      </c>
      <c r="H59" s="85" t="str">
        <f ca="1">IF(IFERROR(_xludf.aggregate(15,6,(ROW('📋 ORDERS'!$B$4:$B$675)-3)/(IF($B$4="SKF Order",'📋 ORDERS'!$C$4:$C$675,IF($B$4="TATA Order",'📋 ORDERS'!$D$4:$D$675,IF($B$4="Vulcan PO",'📋 ORDERS'!$E$4:$E$675,'📋 ORDERS'!$Q$4:$Q$675)))=$K$4),37),0)=0,"",IFERROR(INDEX('📋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ORDERS'!$Q$4:$Q$675)))=$K$4),37),0)),""))</f>
        <v/>
      </c>
      <c r="I59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ORDERS'!$Q$4:$Q$675)))=$K$4),37),0)=0,"",IFERROR(INDEX('📋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ORDERS'!$Q$4:$Q$675)))=$K$4),37),0)),""))</f>
        <v/>
      </c>
      <c r="J59" s="86" t="str">
        <f ca="1">IF(IFERROR(_xludf.aggregate(15,6,(ROW('📋 ORDERS'!$B$4:$B$675)-3)/(IF($B$4="SKF Order",'📋 ORDERS'!$C$4:$C$675,IF($B$4="TATA Order",'📋 ORDERS'!$D$4:$D$675,IF($B$4="Vulcan PO",'📋 ORDERS'!$E$4:$E$675,'📋 ORDERS'!$Q$4:$Q$675)))=$K$4),37),0)=0,"",IFERROR(INDEX('📋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ORDERS'!$Q$4:$Q$675)))=$K$4),37),0)),""))</f>
        <v/>
      </c>
    </row>
    <row r="60" spans="2:10" ht="15.75" hidden="1" customHeight="1" x14ac:dyDescent="0.35">
      <c r="B60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ORDERS'!$Q$4:$Q$675)))=$K$4),38),0)=0,"",38)</f>
        <v/>
      </c>
      <c r="C60" s="88" t="str">
        <f ca="1">IF(IFERROR(_xludf.aggregate(15,6,(ROW('📋 ORDERS'!$B$4:$B$675)-3)/(IF($B$4="SKF Order",'📋 ORDERS'!$C$4:$C$675,IF($B$4="TATA Order",'📋 ORDERS'!$D$4:$D$675,IF($B$4="Vulcan PO",'📋 ORDERS'!$E$4:$E$675,'📋 ORDERS'!$Q$4:$Q$675)))=$K$4),38),0)=0,"",IFERROR(INDEX('📋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ORDERS'!$Q$4:$Q$675)))=$K$4),38),0)),""))</f>
        <v/>
      </c>
      <c r="D60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ORDERS'!$Q$4:$Q$675)))=$K$4),38),0)=0,"",IFERROR(INDEX('📋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ORDERS'!$Q$4:$Q$675)))=$K$4),38),0)),""))</f>
        <v/>
      </c>
      <c r="E60" s="204"/>
      <c r="F60" s="89" t="str">
        <f ca="1">IF(IFERROR(_xludf.aggregate(15,6,(ROW('📋 ORDERS'!$B$4:$B$675)-3)/(IF($B$4="SKF Order",'📋 ORDERS'!$C$4:$C$675,IF($B$4="TATA Order",'📋 ORDERS'!$D$4:$D$675,IF($B$4="Vulcan PO",'📋 ORDERS'!$E$4:$E$675,'📋 ORDERS'!$Q$4:$Q$675)))=$K$4),38),0)=0,"",IFERROR(INDEX('📋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ORDERS'!$Q$4:$Q$675)))=$K$4),38),0)),""))</f>
        <v/>
      </c>
      <c r="G60" s="90" t="str">
        <f ca="1">IF(IFERROR(_xludf.aggregate(15,6,(ROW('📋 ORDERS'!$B$4:$B$675)-3)/(IF($B$4="SKF Order",'📋 ORDERS'!$C$4:$C$675,IF($B$4="TATA Order",'📋 ORDERS'!$D$4:$D$675,IF($B$4="Vulcan PO",'📋 ORDERS'!$E$4:$E$675,'📋 ORDERS'!$Q$4:$Q$675)))=$K$4),38),0)=0,"",IFERROR(INDEX('📋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ORDERS'!$Q$4:$Q$675)))=$K$4),38),0)),""))</f>
        <v/>
      </c>
      <c r="H60" s="91" t="str">
        <f ca="1">IF(IFERROR(_xludf.aggregate(15,6,(ROW('📋 ORDERS'!$B$4:$B$675)-3)/(IF($B$4="SKF Order",'📋 ORDERS'!$C$4:$C$675,IF($B$4="TATA Order",'📋 ORDERS'!$D$4:$D$675,IF($B$4="Vulcan PO",'📋 ORDERS'!$E$4:$E$675,'📋 ORDERS'!$Q$4:$Q$675)))=$K$4),38),0)=0,"",IFERROR(INDEX('📋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ORDERS'!$Q$4:$Q$675)))=$K$4),38),0)),""))</f>
        <v/>
      </c>
      <c r="I60" s="87" t="str">
        <f ca="1">IF(IFERROR(_xludf.aggregate(15,6,(ROW('📋 ORDERS'!$B$4:$B$675)-3)/(IF($B$4="SKF Order",'📋 ORDERS'!$C$4:$C$675,IF($B$4="TATA Order",'📋 ORDERS'!$D$4:$D$675,IF($B$4="Vulcan PO",'📋 ORDERS'!$E$4:$E$675,'📋 ORDERS'!$Q$4:$Q$675)))=$K$4),38),0)=0,"",IFERROR(INDEX('📋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ORDERS'!$Q$4:$Q$675)))=$K$4),38),0)),""))</f>
        <v/>
      </c>
      <c r="J60" s="92" t="str">
        <f ca="1">IF(IFERROR(_xludf.aggregate(15,6,(ROW('📋 ORDERS'!$B$4:$B$675)-3)/(IF($B$4="SKF Order",'📋 ORDERS'!$C$4:$C$675,IF($B$4="TATA Order",'📋 ORDERS'!$D$4:$D$675,IF($B$4="Vulcan PO",'📋 ORDERS'!$E$4:$E$675,'📋 ORDERS'!$Q$4:$Q$675)))=$K$4),38),0)=0,"",IFERROR(INDEX('📋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ORDERS'!$Q$4:$Q$675)))=$K$4),38),0)),""))</f>
        <v/>
      </c>
    </row>
    <row r="61" spans="2:10" ht="15.75" hidden="1" customHeight="1" x14ac:dyDescent="0.35">
      <c r="B61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ORDERS'!$Q$4:$Q$675)))=$K$4),39),0)=0,"",39)</f>
        <v/>
      </c>
      <c r="C61" s="82" t="str">
        <f ca="1">IF(IFERROR(_xludf.aggregate(15,6,(ROW('📋 ORDERS'!$B$4:$B$675)-3)/(IF($B$4="SKF Order",'📋 ORDERS'!$C$4:$C$675,IF($B$4="TATA Order",'📋 ORDERS'!$D$4:$D$675,IF($B$4="Vulcan PO",'📋 ORDERS'!$E$4:$E$675,'📋 ORDERS'!$Q$4:$Q$675)))=$K$4),39),0)=0,"",IFERROR(INDEX('📋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ORDERS'!$Q$4:$Q$675)))=$K$4),39),0)),""))</f>
        <v/>
      </c>
      <c r="D61" s="203" t="str">
        <f ca="1">IF(IFERROR(_xludf.aggregate(15,6,(ROW('📋 ORDERS'!$B$4:$B$675)-3)/(IF($B$4="SKF Order",'📋 ORDERS'!$C$4:$C$675,IF($B$4="TATA Order",'📋 ORDERS'!$D$4:$D$675,IF($B$4="Vulcan PO",'📋 ORDERS'!$E$4:$E$675,'📋 ORDERS'!$Q$4:$Q$675)))=$K$4),39),0)=0,"",IFERROR(INDEX('📋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ORDERS'!$Q$4:$Q$675)))=$K$4),39),0)),""))</f>
        <v/>
      </c>
      <c r="E61" s="203"/>
      <c r="F61" s="83" t="str">
        <f ca="1">IF(IFERROR(_xludf.aggregate(15,6,(ROW('📋 ORDERS'!$B$4:$B$675)-3)/(IF($B$4="SKF Order",'📋 ORDERS'!$C$4:$C$675,IF($B$4="TATA Order",'📋 ORDERS'!$D$4:$D$675,IF($B$4="Vulcan PO",'📋 ORDERS'!$E$4:$E$675,'📋 ORDERS'!$Q$4:$Q$675)))=$K$4),39),0)=0,"",IFERROR(INDEX('📋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ORDERS'!$Q$4:$Q$675)))=$K$4),39),0)),""))</f>
        <v/>
      </c>
      <c r="G61" s="84" t="str">
        <f ca="1">IF(IFERROR(_xludf.aggregate(15,6,(ROW('📋 ORDERS'!$B$4:$B$675)-3)/(IF($B$4="SKF Order",'📋 ORDERS'!$C$4:$C$675,IF($B$4="TATA Order",'📋 ORDERS'!$D$4:$D$675,IF($B$4="Vulcan PO",'📋 ORDERS'!$E$4:$E$675,'📋 ORDERS'!$Q$4:$Q$675)))=$K$4),39),0)=0,"",IFERROR(INDEX('📋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ORDERS'!$Q$4:$Q$675)))=$K$4),39),0)),""))</f>
        <v/>
      </c>
      <c r="H61" s="85" t="str">
        <f ca="1">IF(IFERROR(_xludf.aggregate(15,6,(ROW('📋 ORDERS'!$B$4:$B$675)-3)/(IF($B$4="SKF Order",'📋 ORDERS'!$C$4:$C$675,IF($B$4="TATA Order",'📋 ORDERS'!$D$4:$D$675,IF($B$4="Vulcan PO",'📋 ORDERS'!$E$4:$E$675,'📋 ORDERS'!$Q$4:$Q$675)))=$K$4),39),0)=0,"",IFERROR(INDEX('📋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ORDERS'!$Q$4:$Q$675)))=$K$4),39),0)),""))</f>
        <v/>
      </c>
      <c r="I61" s="81" t="str">
        <f ca="1">IF(IFERROR(_xludf.aggregate(15,6,(ROW('📋 ORDERS'!$B$4:$B$675)-3)/(IF($B$4="SKF Order",'📋 ORDERS'!$C$4:$C$675,IF($B$4="TATA Order",'📋 ORDERS'!$D$4:$D$675,IF($B$4="Vulcan PO",'📋 ORDERS'!$E$4:$E$675,'📋 ORDERS'!$Q$4:$Q$675)))=$K$4),39),0)=0,"",IFERROR(INDEX('📋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ORDERS'!$Q$4:$Q$675)))=$K$4),39),0)),""))</f>
        <v/>
      </c>
      <c r="J61" s="86" t="str">
        <f ca="1">IF(IFERROR(_xludf.aggregate(15,6,(ROW('📋 ORDERS'!$B$4:$B$675)-3)/(IF($B$4="SKF Order",'📋 ORDERS'!$C$4:$C$675,IF($B$4="TATA Order",'📋 ORDERS'!$D$4:$D$675,IF($B$4="Vulcan PO",'📋 ORDERS'!$E$4:$E$675,'📋 ORDERS'!$Q$4:$Q$675)))=$K$4),39),0)=0,"",IFERROR(INDEX('📋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ORDERS'!$Q$4:$Q$675)))=$K$4),39),0)),""))</f>
        <v/>
      </c>
    </row>
    <row r="62" spans="2:10" ht="15.75" hidden="1" customHeight="1" x14ac:dyDescent="0.35">
      <c r="B62" s="87" t="str">
        <f ca="1">IF(IFERROR(_xludf.aggregate(15,6,(ROW('📋 ORDERS'!$B$4:$B$675)-3)/(IF($B$4="SKF Order",'📋 ORDERS'!$C$4:$C$675,IF($B$4="TATA Order",'📋 ORDERS'!$D$4:$D$675,IF($B$4="Vulcan PO",'📋 ORDERS'!$E$4:$E$675,'📋 ORDERS'!$Q$4:$Q$675)))=$K$4),40),0)=0,"",40)</f>
        <v/>
      </c>
      <c r="C62" s="88" t="str">
        <f ca="1">IF(IFERROR(_xludf.aggregate(15,6,(ROW('📋 ORDERS'!$B$4:$B$675)-3)/(IF($B$4="SKF Order",'📋 ORDERS'!$C$4:$C$675,IF($B$4="TATA Order",'📋 ORDERS'!$D$4:$D$675,IF($B$4="Vulcan PO",'📋 ORDERS'!$E$4:$E$675,'📋 ORDERS'!$Q$4:$Q$675)))=$K$4),40),0)=0,"",IFERROR(INDEX('📋 ORDERS'!$C$4:$C$675,IFERROR(_xludf.aggregate(15,6,(ROW('📋 ORDERS'!$B$4:$B$675)-3)/(IF($B$4="SKF Order",'📋 ORDERS'!$C$4:$C$675,IF($B$4="TATA Order",'📋 ORDERS'!$D$4:$D$675,IF($B$4="Vulcan PO",'📋 ORDERS'!$E$4:$E$675,'📋 ORDERS'!$Q$4:$Q$675)))=$K$4),40),0)),""))</f>
        <v/>
      </c>
      <c r="D62" s="204" t="str">
        <f ca="1">IF(IFERROR(_xludf.aggregate(15,6,(ROW('📋 ORDERS'!$B$4:$B$675)-3)/(IF($B$4="SKF Order",'📋 ORDERS'!$C$4:$C$675,IF($B$4="TATA Order",'📋 ORDERS'!$D$4:$D$675,IF($B$4="Vulcan PO",'📋 ORDERS'!$E$4:$E$675,'📋 ORDERS'!$Q$4:$Q$675)))=$K$4),40),0)=0,"",IFERROR(INDEX('📋 ORDERS'!$G$4:$G$675,IFERROR(_xludf.aggregate(15,6,(ROW('📋 ORDERS'!$B$4:$B$675)-3)/(IF($B$4="SKF Order",'📋 ORDERS'!$C$4:$C$675,IF($B$4="TATA Order",'📋 ORDERS'!$D$4:$D$675,IF($B$4="Vulcan PO",'📋 ORDERS'!$E$4:$E$675,'📋 ORDERS'!$Q$4:$Q$675)))=$K$4),40),0)),""))</f>
        <v/>
      </c>
      <c r="E62" s="204"/>
      <c r="F62" s="89" t="str">
        <f ca="1">IF(IFERROR(_xludf.aggregate(15,6,(ROW('📋 ORDERS'!$B$4:$B$675)-3)/(IF($B$4="SKF Order",'📋 ORDERS'!$C$4:$C$675,IF($B$4="TATA Order",'📋 ORDERS'!$D$4:$D$675,IF($B$4="Vulcan PO",'📋 ORDERS'!$E$4:$E$675,'📋 ORDERS'!$Q$4:$Q$675)))=$K$4),40),0)=0,"",IFERROR(INDEX('📋 ORDERS'!$K$4:$K$675,IFERROR(_xludf.aggregate(15,6,(ROW('📋 ORDERS'!$B$4:$B$675)-3)/(IF($B$4="SKF Order",'📋 ORDERS'!$C$4:$C$675,IF($B$4="TATA Order",'📋 ORDERS'!$D$4:$D$675,IF($B$4="Vulcan PO",'📋 ORDERS'!$E$4:$E$675,'📋 ORDERS'!$Q$4:$Q$675)))=$K$4),40),0)),""))</f>
        <v/>
      </c>
      <c r="G62" s="90" t="str">
        <f ca="1">IF(IFERROR(_xludf.aggregate(15,6,(ROW('📋 ORDERS'!$B$4:$B$675)-3)/(IF($B$4="SKF Order",'📋 ORDERS'!$C$4:$C$675,IF($B$4="TATA Order",'📋 ORDERS'!$D$4:$D$675,IF($B$4="Vulcan PO",'📋 ORDERS'!$E$4:$E$675,'📋 ORDERS'!$Q$4:$Q$675)))=$K$4),40),0)=0,"",IFERROR(INDEX('📋 ORDERS'!$L$4:$L$675,IFERROR(_xludf.aggregate(15,6,(ROW('📋 ORDERS'!$B$4:$B$675)-3)/(IF($B$4="SKF Order",'📋 ORDERS'!$C$4:$C$675,IF($B$4="TATA Order",'📋 ORDERS'!$D$4:$D$675,IF($B$4="Vulcan PO",'📋 ORDERS'!$E$4:$E$675,'📋 ORDERS'!$Q$4:$Q$675)))=$K$4),40),0)),""))</f>
        <v/>
      </c>
      <c r="H62" s="91" t="str">
        <f ca="1">IF(IFERROR(_xludf.aggregate(15,6,(ROW('📋 ORDERS'!$B$4:$B$675)-3)/(IF($B$4="SKF Order",'📋 ORDERS'!$C$4:$C$675,IF($B$4="TATA Order",'📋 ORDERS'!$D$4:$D$675,IF($B$4="Vulcan PO",'📋 ORDERS'!$E$4:$E$675,'📋 ORDERS'!$Q$4:$Q$675)))=$K$4),40),0)=0,"",IFERROR(INDEX('📋 ORDERS'!$M$4:$M$675,IFERROR(_xludf.aggregate(15,6,(ROW('📋 ORDERS'!$B$4:$B$675)-3)/(IF($B$4="SKF Order",'📋 ORDERS'!$C$4:$C$675,IF($B$4="TATA Order",'📋 ORDERS'!$D$4:$D$675,IF($B$4="Vulcan PO",'📋 ORDERS'!$E$4:$E$675,'📋 ORDERS'!$Q$4:$Q$675)))=$K$4),40),0)),""))</f>
        <v/>
      </c>
      <c r="I62" s="87" t="str">
        <f ca="1">IF(IFERROR(_xludf.aggregate(15,6,(ROW('📋 ORDERS'!$B$4:$B$675)-3)/(IF($B$4="SKF Order",'📋 ORDERS'!$C$4:$C$675,IF($B$4="TATA Order",'📋 ORDERS'!$D$4:$D$675,IF($B$4="Vulcan PO",'📋 ORDERS'!$E$4:$E$675,'📋 ORDERS'!$Q$4:$Q$675)))=$K$4),40),0)=0,"",IFERROR(INDEX('📋 ORDERS'!$R$4:$R$675,IFERROR(_xludf.aggregate(15,6,(ROW('📋 ORDERS'!$B$4:$B$675)-3)/(IF($B$4="SKF Order",'📋 ORDERS'!$C$4:$C$675,IF($B$4="TATA Order",'📋 ORDERS'!$D$4:$D$675,IF($B$4="Vulcan PO",'📋 ORDERS'!$E$4:$E$675,'📋 ORDERS'!$Q$4:$Q$675)))=$K$4),40),0)),""))</f>
        <v/>
      </c>
      <c r="J62" s="92" t="str">
        <f ca="1">IF(IFERROR(_xludf.aggregate(15,6,(ROW('📋 ORDERS'!$B$4:$B$675)-3)/(IF($B$4="SKF Order",'📋 ORDERS'!$C$4:$C$675,IF($B$4="TATA Order",'📋 ORDERS'!$D$4:$D$675,IF($B$4="Vulcan PO",'📋 ORDERS'!$E$4:$E$675,'📋 ORDERS'!$Q$4:$Q$675)))=$K$4),40),0)=0,"",IFERROR(INDEX('📋 ORDERS'!$S$4:$S$675,IFERROR(_xludf.aggregate(15,6,(ROW('📋 ORDERS'!$B$4:$B$675)-3)/(IF($B$4="SKF Order",'📋 ORDERS'!$C$4:$C$675,IF($B$4="TATA Order",'📋 ORDERS'!$D$4:$D$675,IF($B$4="Vulcan PO",'📋 ORDERS'!$E$4:$E$675,'📋 ORDERS'!$Q$4:$Q$675)))=$K$4),40),0)),""))</f>
        <v/>
      </c>
    </row>
    <row r="63" spans="2:10" ht="15.75" hidden="1" customHeight="1" x14ac:dyDescent="0.35">
      <c r="B63" s="205" t="s">
        <v>381</v>
      </c>
      <c r="C63" s="205"/>
      <c r="D63" s="205"/>
      <c r="E63" s="205"/>
      <c r="F63" s="205"/>
      <c r="G63" s="205"/>
      <c r="H63" s="205"/>
      <c r="I63" s="205"/>
      <c r="J63" s="205"/>
    </row>
    <row r="64" spans="2:10" ht="14.25" hidden="1" customHeight="1" x14ac:dyDescent="0.35"/>
    <row r="65" ht="14.25" hidden="1" customHeight="1" x14ac:dyDescent="0.35"/>
  </sheetData>
  <mergeCells count="59">
    <mergeCell ref="A1:K1"/>
    <mergeCell ref="C3:J3"/>
    <mergeCell ref="C4:J4"/>
    <mergeCell ref="B6:J6"/>
    <mergeCell ref="I10:J10"/>
    <mergeCell ref="I11:J11"/>
    <mergeCell ref="B12:J12"/>
    <mergeCell ref="B14:J14"/>
    <mergeCell ref="B15:J15"/>
    <mergeCell ref="B17:J17"/>
    <mergeCell ref="C18:D18"/>
    <mergeCell ref="E18:F18"/>
    <mergeCell ref="G18:J18"/>
    <mergeCell ref="C19:D19"/>
    <mergeCell ref="E19:F19"/>
    <mergeCell ref="G19:J19"/>
    <mergeCell ref="B21:J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61:E61"/>
    <mergeCell ref="D62:E62"/>
    <mergeCell ref="B63:J63"/>
    <mergeCell ref="D56:E56"/>
    <mergeCell ref="D57:E57"/>
    <mergeCell ref="D58:E58"/>
    <mergeCell ref="D59:E59"/>
    <mergeCell ref="D60:E60"/>
  </mergeCells>
  <conditionalFormatting sqref="B19">
    <cfRule type="expression" dxfId="19" priority="11">
      <formula>B19="✔"</formula>
    </cfRule>
    <cfRule type="expression" dxfId="18" priority="12">
      <formula>B19="✘"</formula>
    </cfRule>
  </conditionalFormatting>
  <conditionalFormatting sqref="C11">
    <cfRule type="expression" dxfId="17" priority="3">
      <formula>C11="COLLECTED"</formula>
    </cfRule>
    <cfRule type="expression" dxfId="16" priority="4">
      <formula>C11="READY FOR COLLECTION"</formula>
    </cfRule>
    <cfRule type="expression" dxfId="15" priority="5">
      <formula>C11="SHS"</formula>
    </cfRule>
    <cfRule type="expression" dxfId="14" priority="6">
      <formula>C11="BOK"</formula>
    </cfRule>
    <cfRule type="expression" dxfId="13" priority="7">
      <formula>C11="RBK"</formula>
    </cfRule>
    <cfRule type="expression" dxfId="12" priority="8">
      <formula>C11="ENT"</formula>
    </cfRule>
    <cfRule type="expression" dxfId="11" priority="9">
      <formula>C11="RPI"</formula>
    </cfRule>
    <cfRule type="expression" dxfId="10" priority="10">
      <formula>C11="ALL"</formula>
    </cfRule>
  </conditionalFormatting>
  <conditionalFormatting sqref="I8">
    <cfRule type="expression" dxfId="9" priority="2">
      <formula>I8="✔ OK"</formula>
    </cfRule>
  </conditionalFormatting>
  <conditionalFormatting sqref="I23:I62">
    <cfRule type="expression" dxfId="8" priority="13">
      <formula>I23="COLLECTED"</formula>
    </cfRule>
    <cfRule type="expression" dxfId="7" priority="14">
      <formula>I23="READY FOR COLLECTION"</formula>
    </cfRule>
    <cfRule type="expression" dxfId="6" priority="15">
      <formula>I23="SHS"</formula>
    </cfRule>
    <cfRule type="expression" dxfId="5" priority="16">
      <formula>I23="BOK"</formula>
    </cfRule>
    <cfRule type="expression" dxfId="4" priority="17">
      <formula>I23="RBK"</formula>
    </cfRule>
    <cfRule type="expression" dxfId="3" priority="18">
      <formula>I23="ENT"</formula>
    </cfRule>
    <cfRule type="expression" dxfId="2" priority="19">
      <formula>I23="RPI"</formula>
    </cfRule>
    <cfRule type="expression" dxfId="1" priority="20">
      <formula>I23="ALL"</formula>
    </cfRule>
  </conditionalFormatting>
  <conditionalFormatting sqref="J23:J62">
    <cfRule type="expression" dxfId="0" priority="21">
      <formula>J23="✔ OK"</formula>
    </cfRule>
  </conditionalFormatting>
  <dataValidations count="1">
    <dataValidation type="list" sqref="B4" xr:uid="{00000000-0002-0000-0200-000000000000}">
      <formula1>"SKF Order,TATA Order,Vulcan PO,Invoice No."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"/>
  <sheetViews>
    <sheetView showGridLines="0" zoomScale="95" zoomScaleNormal="95" workbookViewId="0">
      <selection activeCell="C63" sqref="C63"/>
    </sheetView>
  </sheetViews>
  <sheetFormatPr defaultColWidth="8.6328125" defaultRowHeight="14.5" x14ac:dyDescent="0.35"/>
  <cols>
    <col min="1" max="1" width="2" customWidth="1"/>
    <col min="2" max="2" width="36.1796875" customWidth="1"/>
    <col min="3" max="3" width="22" customWidth="1"/>
    <col min="4" max="4" width="11" customWidth="1"/>
    <col min="5" max="5" width="12" customWidth="1"/>
    <col min="6" max="7" width="11" customWidth="1"/>
    <col min="8" max="8" width="14" customWidth="1"/>
    <col min="9" max="9" width="22" customWidth="1"/>
  </cols>
  <sheetData>
    <row r="1" spans="1:13" ht="42" customHeight="1" x14ac:dyDescent="0.35">
      <c r="A1" s="247" t="s">
        <v>382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</row>
    <row r="2" spans="1:13" ht="18" hidden="1" customHeight="1" x14ac:dyDescent="0.35">
      <c r="A2" s="198" t="s">
        <v>383</v>
      </c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  <c r="M2" s="198"/>
    </row>
    <row r="3" spans="1:13" ht="9.75" customHeight="1" x14ac:dyDescent="0.35"/>
    <row r="4" spans="1:13" ht="15.75" customHeight="1" x14ac:dyDescent="0.35">
      <c r="B4" s="248" t="s">
        <v>384</v>
      </c>
      <c r="C4" s="248"/>
      <c r="D4" s="248" t="s">
        <v>385</v>
      </c>
      <c r="E4" s="248"/>
      <c r="F4" s="248" t="s">
        <v>386</v>
      </c>
      <c r="G4" s="248"/>
      <c r="H4" s="248" t="s">
        <v>387</v>
      </c>
      <c r="I4" s="248"/>
      <c r="J4" s="248" t="s">
        <v>388</v>
      </c>
      <c r="K4" s="248"/>
      <c r="L4" s="248" t="s">
        <v>389</v>
      </c>
      <c r="M4" s="248"/>
    </row>
    <row r="5" spans="1:13" ht="33.75" customHeight="1" x14ac:dyDescent="0.35">
      <c r="B5" s="242">
        <f>SUM('📋 ORDERS'!$P$4:$P$675)</f>
        <v>582941.25000000012</v>
      </c>
      <c r="C5" s="242"/>
      <c r="D5" s="243">
        <f>COUNTA('📋 ORDERS'!$B$4:$B$675)</f>
        <v>135</v>
      </c>
      <c r="E5" s="243"/>
      <c r="F5" s="244">
        <f>SUM('📋 ORDERS'!$M$4:$M$675)</f>
        <v>1178</v>
      </c>
      <c r="G5" s="244"/>
      <c r="H5" s="245">
        <f>SUM('📋 ORDERS'!$V$4:$V$675)</f>
        <v>265</v>
      </c>
      <c r="I5" s="245"/>
      <c r="J5" s="246">
        <f>IF(SUM('📋 ORDERS'!$L$4:$L$675)=0,0,SUM('📋 ORDERS'!$M$4:$M$675)/SUM('📋 ORDERS'!$L$4:$L$675))</f>
        <v>0.81635481635481633</v>
      </c>
      <c r="K5" s="246"/>
      <c r="L5" s="241">
        <f>COUNTIF('📋 ORDERS'!$Y$4:$Y$675,"✔")</f>
        <v>50</v>
      </c>
      <c r="M5" s="241"/>
    </row>
    <row r="6" spans="1:13" ht="4.5" customHeight="1" x14ac:dyDescent="0.35">
      <c r="B6" s="236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</row>
    <row r="7" spans="1:13" ht="4.5" customHeight="1" x14ac:dyDescent="0.35">
      <c r="B7" s="236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</row>
    <row r="8" spans="1:13" ht="4.5" customHeight="1" x14ac:dyDescent="0.35">
      <c r="B8" s="237"/>
      <c r="C8" s="237"/>
      <c r="D8" s="238"/>
      <c r="E8" s="238"/>
      <c r="F8" s="233"/>
      <c r="G8" s="233"/>
      <c r="H8" s="232"/>
      <c r="I8" s="232"/>
      <c r="J8" s="239"/>
      <c r="K8" s="239"/>
      <c r="L8" s="240"/>
      <c r="M8" s="240"/>
    </row>
    <row r="9" spans="1:13" ht="13.5" customHeight="1" x14ac:dyDescent="0.35"/>
    <row r="10" spans="1:13" ht="21.75" customHeight="1" x14ac:dyDescent="0.35">
      <c r="B10" s="234" t="s">
        <v>390</v>
      </c>
      <c r="C10" s="234"/>
      <c r="D10" s="234"/>
      <c r="E10" s="234"/>
      <c r="F10" s="234"/>
      <c r="G10" s="234"/>
      <c r="H10" s="234"/>
      <c r="I10" s="234"/>
    </row>
    <row r="11" spans="1:13" ht="15" customHeight="1" x14ac:dyDescent="0.35">
      <c r="B11" s="235" t="s">
        <v>391</v>
      </c>
      <c r="C11" s="235"/>
      <c r="D11" s="235" t="s">
        <v>392</v>
      </c>
      <c r="E11" s="235"/>
      <c r="F11" s="235" t="s">
        <v>393</v>
      </c>
      <c r="G11" s="235"/>
      <c r="H11" s="235" t="s">
        <v>394</v>
      </c>
      <c r="I11" s="235"/>
    </row>
    <row r="12" spans="1:13" ht="27.75" customHeight="1" x14ac:dyDescent="0.35">
      <c r="B12" s="227">
        <f ca="1">SUMPRODUCT((MONTH('📋 ORDERS'!$J$4:$J$675)=MONTH(TODAY()))*(YEAR('📋 ORDERS'!$J$4:$J$675)=YEAR(TODAY()))*('📋 ORDERS'!$B$4:$B$675&lt;&gt;""))</f>
        <v>54</v>
      </c>
      <c r="C12" s="227"/>
      <c r="D12" s="228">
        <f ca="1">SUMPRODUCT((MONTH('📋 ORDERS'!$J$4:$J$675)=MONTH(TODAY()))*(YEAR('📋 ORDERS'!$J$4:$J$675)=YEAR(TODAY()))*('📋 ORDERS'!$P$4:$P$675))</f>
        <v>126672.70999999999</v>
      </c>
      <c r="E12" s="228"/>
      <c r="F12" s="229">
        <f ca="1">SUMPRODUCT((MONTH('📋 ORDERS'!$J$4:$J$675)=MONTH(TODAY()))*(YEAR('📋 ORDERS'!$J$4:$J$675)=YEAR(TODAY()))*('📋 ORDERS'!$V$4:$V$675))</f>
        <v>3</v>
      </c>
      <c r="G12" s="229"/>
      <c r="H12" s="230">
        <f ca="1">SUMPRODUCT((MONTH('📋 ORDERS'!$J$4:$J$675)=MONTH(TODAY()))*(YEAR('📋 ORDERS'!$J$4:$J$675)=YEAR(TODAY()))*('📋 ORDERS'!$M$4:$M$675))</f>
        <v>428</v>
      </c>
      <c r="I12" s="230"/>
    </row>
    <row r="13" spans="1:13" ht="4.5" customHeight="1" x14ac:dyDescent="0.35">
      <c r="B13" s="231"/>
      <c r="C13" s="231"/>
      <c r="D13" s="231"/>
      <c r="E13" s="231"/>
      <c r="F13" s="232"/>
      <c r="G13" s="232"/>
      <c r="H13" s="233"/>
      <c r="I13" s="233"/>
    </row>
    <row r="14" spans="1:13" ht="13.5" customHeight="1" x14ac:dyDescent="0.35"/>
    <row r="15" spans="1:13" ht="19.5" customHeight="1" x14ac:dyDescent="0.35">
      <c r="B15" s="223" t="s">
        <v>395</v>
      </c>
      <c r="C15" s="223"/>
      <c r="D15" s="223"/>
      <c r="E15" s="223"/>
      <c r="F15" s="223"/>
      <c r="G15" s="223"/>
      <c r="H15" s="223"/>
      <c r="I15" s="223"/>
    </row>
    <row r="16" spans="1:13" ht="21.75" customHeight="1" x14ac:dyDescent="0.35">
      <c r="B16" s="94" t="s">
        <v>23</v>
      </c>
      <c r="C16" s="94" t="s">
        <v>396</v>
      </c>
      <c r="D16" s="94" t="s">
        <v>397</v>
      </c>
      <c r="E16" s="94" t="s">
        <v>379</v>
      </c>
      <c r="F16" s="94" t="s">
        <v>380</v>
      </c>
      <c r="G16" s="94" t="s">
        <v>398</v>
      </c>
      <c r="H16" s="94" t="s">
        <v>399</v>
      </c>
      <c r="I16" s="94" t="s">
        <v>400</v>
      </c>
    </row>
    <row r="17" spans="2:9" ht="18" customHeight="1" x14ac:dyDescent="0.35">
      <c r="B17" s="95" t="s">
        <v>38</v>
      </c>
      <c r="C17" s="96" t="s">
        <v>401</v>
      </c>
      <c r="D17" s="97">
        <f>COUNTIF('📋 ORDERS'!$R$4:$R$675,B17)</f>
        <v>65</v>
      </c>
      <c r="E17" s="97">
        <f>SUMIF('📋 ORDERS'!$R$4:$R$675,B17,'📋 ORDERS'!$L$4:$L$675)</f>
        <v>544</v>
      </c>
      <c r="F17" s="97">
        <f>SUMIF('📋 ORDERS'!$R$4:$R$675,B17,'📋 ORDERS'!$M$4:$M$675)</f>
        <v>544</v>
      </c>
      <c r="G17" s="97">
        <f>SUMIF('📋 ORDERS'!$R$4:$R$675,B17,'📋 ORDERS'!$V$4:$V$675)</f>
        <v>0</v>
      </c>
      <c r="H17" s="98">
        <f>SUMIF('📋 ORDERS'!$R$4:$R$675,B17,'📋 ORDERS'!$P$4:$P$675)</f>
        <v>127412.47000000004</v>
      </c>
      <c r="I17" s="99">
        <f>COUNTIFS('📋 ORDERS'!$R$4:$R$675,B17,'📋 ORDERS'!$Y$4:$Y$675,"✔")</f>
        <v>50</v>
      </c>
    </row>
    <row r="18" spans="2:9" ht="18" customHeight="1" x14ac:dyDescent="0.35">
      <c r="B18" s="100" t="s">
        <v>114</v>
      </c>
      <c r="C18" s="101" t="s">
        <v>402</v>
      </c>
      <c r="D18" s="102">
        <f>COUNTIF('📋 ORDERS'!$R$4:$R$675,B18)</f>
        <v>14</v>
      </c>
      <c r="E18" s="102">
        <f>SUMIF('📋 ORDERS'!$R$4:$R$675,B18,'📋 ORDERS'!$L$4:$L$675)</f>
        <v>112</v>
      </c>
      <c r="F18" s="102">
        <f>SUMIF('📋 ORDERS'!$R$4:$R$675,B18,'📋 ORDERS'!$M$4:$M$675)</f>
        <v>112</v>
      </c>
      <c r="G18" s="102">
        <f>SUMIF('📋 ORDERS'!$R$4:$R$675,B18,'📋 ORDERS'!$V$4:$V$675)</f>
        <v>0</v>
      </c>
      <c r="H18" s="103">
        <f>SUMIF('📋 ORDERS'!$R$4:$R$675,B18,'📋 ORDERS'!$P$4:$P$675)</f>
        <v>63773.98</v>
      </c>
      <c r="I18" s="104">
        <f>COUNTIFS('📋 ORDERS'!$R$4:$R$675,B18,'📋 ORDERS'!$Y$4:$Y$675,"✔")</f>
        <v>0</v>
      </c>
    </row>
    <row r="19" spans="2:9" ht="18" customHeight="1" x14ac:dyDescent="0.35">
      <c r="B19" s="105" t="s">
        <v>68</v>
      </c>
      <c r="C19" s="96" t="s">
        <v>403</v>
      </c>
      <c r="D19" s="97">
        <f>COUNTIF('📋 ORDERS'!$R$4:$R$675,B19)</f>
        <v>38</v>
      </c>
      <c r="E19" s="97">
        <f>SUMIF('📋 ORDERS'!$R$4:$R$675,B19,'📋 ORDERS'!$L$4:$L$675)</f>
        <v>254</v>
      </c>
      <c r="F19" s="97">
        <f>SUMIF('📋 ORDERS'!$R$4:$R$675,B19,'📋 ORDERS'!$M$4:$M$675)</f>
        <v>251</v>
      </c>
      <c r="G19" s="97">
        <f>SUMIF('📋 ORDERS'!$R$4:$R$675,B19,'📋 ORDERS'!$V$4:$V$675)</f>
        <v>3</v>
      </c>
      <c r="H19" s="98">
        <f>SUMIF('📋 ORDERS'!$R$4:$R$675,B19,'📋 ORDERS'!$P$4:$P$675)</f>
        <v>153391.42999999993</v>
      </c>
      <c r="I19" s="99">
        <f>COUNTIFS('📋 ORDERS'!$R$4:$R$675,B19,'📋 ORDERS'!$Y$4:$Y$675,"✔")</f>
        <v>0</v>
      </c>
    </row>
    <row r="20" spans="2:9" ht="18" customHeight="1" x14ac:dyDescent="0.35">
      <c r="B20" s="106" t="s">
        <v>219</v>
      </c>
      <c r="C20" s="101" t="s">
        <v>404</v>
      </c>
      <c r="D20" s="102">
        <f>COUNTIF('📋 ORDERS'!$R$4:$R$675,B20)</f>
        <v>3</v>
      </c>
      <c r="E20" s="102">
        <f>SUMIF('📋 ORDERS'!$R$4:$R$675,B20,'📋 ORDERS'!$L$4:$L$675)</f>
        <v>7</v>
      </c>
      <c r="F20" s="102">
        <f>SUMIF('📋 ORDERS'!$R$4:$R$675,B20,'📋 ORDERS'!$M$4:$M$675)</f>
        <v>7</v>
      </c>
      <c r="G20" s="102">
        <f>SUMIF('📋 ORDERS'!$R$4:$R$675,B20,'📋 ORDERS'!$V$4:$V$675)</f>
        <v>0</v>
      </c>
      <c r="H20" s="103">
        <f>SUMIF('📋 ORDERS'!$R$4:$R$675,B20,'📋 ORDERS'!$P$4:$P$675)</f>
        <v>258.29999999999995</v>
      </c>
      <c r="I20" s="104">
        <f>COUNTIFS('📋 ORDERS'!$R$4:$R$675,B20,'📋 ORDERS'!$Y$4:$Y$675,"✔")</f>
        <v>0</v>
      </c>
    </row>
    <row r="21" spans="2:9" ht="18" customHeight="1" x14ac:dyDescent="0.35">
      <c r="B21" s="107" t="s">
        <v>107</v>
      </c>
      <c r="C21" s="96" t="s">
        <v>405</v>
      </c>
      <c r="D21" s="97">
        <f>COUNTIF('📋 ORDERS'!$R$4:$R$675,B21)</f>
        <v>4</v>
      </c>
      <c r="E21" s="97">
        <f>SUMIF('📋 ORDERS'!$R$4:$R$675,B21,'📋 ORDERS'!$L$4:$L$675)</f>
        <v>188</v>
      </c>
      <c r="F21" s="97">
        <f>SUMIF('📋 ORDERS'!$R$4:$R$675,B21,'📋 ORDERS'!$M$4:$M$675)</f>
        <v>188</v>
      </c>
      <c r="G21" s="97">
        <f>SUMIF('📋 ORDERS'!$R$4:$R$675,B21,'📋 ORDERS'!$V$4:$V$675)</f>
        <v>0</v>
      </c>
      <c r="H21" s="98">
        <f>SUMIF('📋 ORDERS'!$R$4:$R$675,B21,'📋 ORDERS'!$P$4:$P$675)</f>
        <v>37416.300000000003</v>
      </c>
      <c r="I21" s="99">
        <f>COUNTIFS('📋 ORDERS'!$R$4:$R$675,B21,'📋 ORDERS'!$Y$4:$Y$675,"✔")</f>
        <v>0</v>
      </c>
    </row>
    <row r="22" spans="2:9" ht="18" customHeight="1" x14ac:dyDescent="0.35">
      <c r="B22" s="108" t="s">
        <v>225</v>
      </c>
      <c r="C22" s="109" t="s">
        <v>406</v>
      </c>
      <c r="D22" s="102">
        <f>COUNTIF('📋 ORDERS'!$R$4:$R$675,B22)</f>
        <v>21</v>
      </c>
      <c r="E22" s="102">
        <f>SUMIF('📋 ORDERS'!$R$4:$R$675,B22,'📋 ORDERS'!$L$4:$L$675)</f>
        <v>135</v>
      </c>
      <c r="F22" s="102">
        <f>SUMIF('📋 ORDERS'!$R$4:$R$675,B22,'📋 ORDERS'!$M$4:$M$675)</f>
        <v>16</v>
      </c>
      <c r="G22" s="102">
        <f>SUMIF('📋 ORDERS'!$R$4:$R$675,B22,'📋 ORDERS'!$V$4:$V$675)</f>
        <v>119</v>
      </c>
      <c r="H22" s="103">
        <f>SUMIF('📋 ORDERS'!$R$4:$R$675,B22,'📋 ORDERS'!$P$4:$P$675)</f>
        <v>88432.530000000013</v>
      </c>
      <c r="I22" s="104">
        <f>COUNTIFS('📋 ORDERS'!$R$4:$R$675,B22,'📋 ORDERS'!$Y$4:$Y$675,"✔")</f>
        <v>0</v>
      </c>
    </row>
    <row r="23" spans="2:9" ht="18" customHeight="1" x14ac:dyDescent="0.35">
      <c r="B23" s="110" t="s">
        <v>72</v>
      </c>
      <c r="C23" s="96" t="s">
        <v>407</v>
      </c>
      <c r="D23" s="97">
        <f>COUNTIF('📋 ORDERS'!$R$4:$R$675,B23)</f>
        <v>9</v>
      </c>
      <c r="E23" s="97">
        <f>SUMIF('📋 ORDERS'!$R$4:$R$675,B23,'📋 ORDERS'!$L$4:$L$675)</f>
        <v>46</v>
      </c>
      <c r="F23" s="97">
        <f>SUMIF('📋 ORDERS'!$R$4:$R$675,B23,'📋 ORDERS'!$M$4:$M$675)</f>
        <v>29</v>
      </c>
      <c r="G23" s="97">
        <f>SUMIF('📋 ORDERS'!$R$4:$R$675,B23,'📋 ORDERS'!$V$4:$V$675)</f>
        <v>17</v>
      </c>
      <c r="H23" s="98">
        <f>SUMIF('📋 ORDERS'!$R$4:$R$675,B23,'📋 ORDERS'!$P$4:$P$675)</f>
        <v>78192.499999999985</v>
      </c>
      <c r="I23" s="99">
        <f>COUNTIFS('📋 ORDERS'!$R$4:$R$675,B23,'📋 ORDERS'!$Y$4:$Y$675,"✔")</f>
        <v>0</v>
      </c>
    </row>
    <row r="24" spans="2:9" ht="18" customHeight="1" x14ac:dyDescent="0.35">
      <c r="B24" s="111" t="s">
        <v>313</v>
      </c>
      <c r="C24" s="101" t="s">
        <v>408</v>
      </c>
      <c r="D24" s="102">
        <f>COUNTIF('📋 ORDERS'!$R$4:$R$675,B24)</f>
        <v>10</v>
      </c>
      <c r="E24" s="102">
        <f>SUMIF('📋 ORDERS'!$R$4:$R$675,B24,'📋 ORDERS'!$L$4:$L$675)</f>
        <v>31</v>
      </c>
      <c r="F24" s="102">
        <f>SUMIF('📋 ORDERS'!$R$4:$R$675,B24,'📋 ORDERS'!$M$4:$M$675)</f>
        <v>31</v>
      </c>
      <c r="G24" s="102">
        <f>SUMIF('📋 ORDERS'!$R$4:$R$675,B24,'📋 ORDERS'!$V$4:$V$675)</f>
        <v>0</v>
      </c>
      <c r="H24" s="103">
        <f>SUMIF('📋 ORDERS'!$R$4:$R$675,B24,'📋 ORDERS'!$P$4:$P$675)</f>
        <v>8128.6600000000008</v>
      </c>
      <c r="I24" s="104">
        <f>COUNTIFS('📋 ORDERS'!$R$4:$R$675,B24,'📋 ORDERS'!$Y$4:$Y$675,"✔")</f>
        <v>0</v>
      </c>
    </row>
    <row r="25" spans="2:9" ht="19.5" customHeight="1" x14ac:dyDescent="0.35">
      <c r="B25" s="194" t="s">
        <v>409</v>
      </c>
      <c r="C25" s="195" t="s">
        <v>493</v>
      </c>
      <c r="D25" s="81">
        <f>COUNTIF('📋 ORDERS'!$R$4:$R$675,B25)</f>
        <v>8</v>
      </c>
      <c r="E25" s="81">
        <f>SUMIF('📋 ORDERS'!$R$4:$R$675,B25,'📋 ORDERS'!$L$4:$L$675)</f>
        <v>126</v>
      </c>
      <c r="F25" s="81">
        <f>SUMIF('📋 ORDERS'!$R$4:$R$675,B25,'📋 ORDERS'!$M$4:$M$675)</f>
        <v>0</v>
      </c>
      <c r="G25" s="81">
        <f>SUMIF('📋 ORDERS'!$R$4:$R$675,B25,'📋 ORDERS'!$V$4:$V$675)</f>
        <v>126</v>
      </c>
      <c r="H25" s="112">
        <f>SUMIF('📋 ORDERS'!$R$4:$R$675,B25,'📋 ORDERS'!$P$4:$P$675)</f>
        <v>25935.08</v>
      </c>
      <c r="I25" s="113">
        <f>COUNTIFS('📋 ORDERS'!$R$4:$R$675,B25,'📋 ORDERS'!$Y$4:$Y$675,"✔")</f>
        <v>0</v>
      </c>
    </row>
    <row r="26" spans="2:9" ht="14.25" customHeight="1" x14ac:dyDescent="0.35">
      <c r="B26" s="253" t="s">
        <v>410</v>
      </c>
      <c r="C26" s="254"/>
      <c r="D26" s="114">
        <f t="shared" ref="D26:I26" si="0">SUM(D17:D25)</f>
        <v>172</v>
      </c>
      <c r="E26" s="114">
        <f t="shared" si="0"/>
        <v>1443</v>
      </c>
      <c r="F26" s="114">
        <f t="shared" si="0"/>
        <v>1178</v>
      </c>
      <c r="G26" s="114">
        <f t="shared" si="0"/>
        <v>265</v>
      </c>
      <c r="H26" s="115">
        <f t="shared" si="0"/>
        <v>582941.25</v>
      </c>
      <c r="I26" s="114">
        <f t="shared" si="0"/>
        <v>50</v>
      </c>
    </row>
    <row r="27" spans="2:9" ht="19.5" customHeight="1" x14ac:dyDescent="0.35">
      <c r="B27" s="224"/>
      <c r="C27" s="224"/>
      <c r="D27" s="224"/>
      <c r="E27" s="224"/>
      <c r="F27" s="224"/>
      <c r="G27" s="224"/>
      <c r="H27" s="224"/>
      <c r="I27" s="224"/>
    </row>
    <row r="28" spans="2:9" ht="21.75" customHeight="1" x14ac:dyDescent="0.35">
      <c r="B28" s="93" t="s">
        <v>411</v>
      </c>
    </row>
    <row r="29" spans="2:9" ht="18" customHeight="1" x14ac:dyDescent="0.35">
      <c r="B29" s="116" t="s">
        <v>412</v>
      </c>
      <c r="C29" s="116" t="s">
        <v>396</v>
      </c>
      <c r="D29" s="116" t="s">
        <v>397</v>
      </c>
      <c r="E29" s="116" t="s">
        <v>368</v>
      </c>
      <c r="F29" s="116" t="s">
        <v>380</v>
      </c>
      <c r="G29" s="116" t="s">
        <v>398</v>
      </c>
      <c r="H29" s="116" t="s">
        <v>413</v>
      </c>
      <c r="I29" s="116" t="s">
        <v>399</v>
      </c>
    </row>
    <row r="30" spans="2:9" ht="18" customHeight="1" x14ac:dyDescent="0.35">
      <c r="B30" s="117" t="s">
        <v>37</v>
      </c>
      <c r="C30" s="118" t="s">
        <v>414</v>
      </c>
      <c r="D30" s="119">
        <f>COUNTIF('📋 ORDERS'!$K$4:$K$675,B30)</f>
        <v>131</v>
      </c>
      <c r="E30" s="119">
        <f>SUMIF('📋 ORDERS'!$K$4:$K$675,B30,'📋 ORDERS'!$L$4:$L$675)</f>
        <v>1167</v>
      </c>
      <c r="F30" s="119">
        <f>SUMIF('📋 ORDERS'!$K$4:$K$675,B30,'📋 ORDERS'!$M$4:$M$675)</f>
        <v>1111</v>
      </c>
      <c r="G30" s="119">
        <f>SUMIF('📋 ORDERS'!$K$4:$K$675,B30,'📋 ORDERS'!$V$4:$V$675)</f>
        <v>56</v>
      </c>
      <c r="H30" s="120">
        <f>IF(SUMIF('📋 ORDERS'!$K$4:$K$675,B30,'📋 ORDERS'!$L$4:$L$675)=0,0,SUMIF('📋 ORDERS'!$K$4:$K$675,B30,'📋 ORDERS'!$M$4:$M$675)/SUMIF('📋 ORDERS'!$K$4:$K$675,B30,'📋 ORDERS'!$L$4:$L$675))</f>
        <v>0.95201371036846616</v>
      </c>
      <c r="I30" s="121">
        <f>SUMIF('📋 ORDERS'!$K$4:$K$675,B30,'📋 ORDERS'!$P$4:$P$675)</f>
        <v>471131.92000000016</v>
      </c>
    </row>
    <row r="31" spans="2:9" ht="18" customHeight="1" x14ac:dyDescent="0.35">
      <c r="B31" s="122" t="s">
        <v>113</v>
      </c>
      <c r="C31" s="101" t="s">
        <v>415</v>
      </c>
      <c r="D31" s="102">
        <f>COUNTIF('📋 ORDERS'!$K$4:$K$675,B31)</f>
        <v>11</v>
      </c>
      <c r="E31" s="102">
        <f>SUMIF('📋 ORDERS'!$K$4:$K$675,B31,'📋 ORDERS'!$L$4:$L$675)</f>
        <v>24</v>
      </c>
      <c r="F31" s="102">
        <f>SUMIF('📋 ORDERS'!$K$4:$K$675,B31,'📋 ORDERS'!$M$4:$M$675)</f>
        <v>21</v>
      </c>
      <c r="G31" s="102">
        <f>SUMIF('📋 ORDERS'!$K$4:$K$675,B31,'📋 ORDERS'!$V$4:$V$675)</f>
        <v>3</v>
      </c>
      <c r="H31" s="123">
        <f>IF(SUMIF('📋 ORDERS'!$K$4:$K$675,B31,'📋 ORDERS'!$L$4:$L$675)=0,0,SUMIF('📋 ORDERS'!$K$4:$K$675,B31,'📋 ORDERS'!$M$4:$M$675)/SUMIF('📋 ORDERS'!$K$4:$K$675,B31,'📋 ORDERS'!$L$4:$L$675))</f>
        <v>0.875</v>
      </c>
      <c r="I31" s="124">
        <f>SUMIF('📋 ORDERS'!$K$4:$K$675,B31,'📋 ORDERS'!$P$4:$P$675)</f>
        <v>13159.19</v>
      </c>
    </row>
    <row r="32" spans="2:9" ht="18" customHeight="1" x14ac:dyDescent="0.35">
      <c r="B32" s="125" t="s">
        <v>247</v>
      </c>
      <c r="C32" s="118" t="s">
        <v>416</v>
      </c>
      <c r="D32" s="119">
        <f>COUNTIF('📋 ORDERS'!$K$4:$K$675,B32)</f>
        <v>6</v>
      </c>
      <c r="E32" s="119">
        <f>SUMIF('📋 ORDERS'!$K$4:$K$675,B32,'📋 ORDERS'!$L$4:$L$675)</f>
        <v>36</v>
      </c>
      <c r="F32" s="119">
        <f>SUMIF('📋 ORDERS'!$K$4:$K$675,B32,'📋 ORDERS'!$M$4:$M$675)</f>
        <v>36</v>
      </c>
      <c r="G32" s="119">
        <f>SUMIF('📋 ORDERS'!$K$4:$K$675,B32,'📋 ORDERS'!$V$4:$V$675)</f>
        <v>0</v>
      </c>
      <c r="H32" s="120">
        <f>IF(SUMIF('📋 ORDERS'!$K$4:$K$675,B32,'📋 ORDERS'!$L$4:$L$675)=0,0,SUMIF('📋 ORDERS'!$K$4:$K$675,B32,'📋 ORDERS'!$M$4:$M$675)/SUMIF('📋 ORDERS'!$K$4:$K$675,B32,'📋 ORDERS'!$L$4:$L$675))</f>
        <v>1</v>
      </c>
      <c r="I32" s="121">
        <f>SUMIF('📋 ORDERS'!$K$4:$K$675,B32,'📋 ORDERS'!$P$4:$P$675)</f>
        <v>1406.6799999999998</v>
      </c>
    </row>
    <row r="33" spans="2:9" ht="14.25" customHeight="1" x14ac:dyDescent="0.35">
      <c r="B33" s="126" t="s">
        <v>284</v>
      </c>
      <c r="C33" s="101" t="s">
        <v>417</v>
      </c>
      <c r="D33" s="102">
        <f>COUNTIF('📋 ORDERS'!$K$4:$K$675,B33)</f>
        <v>1</v>
      </c>
      <c r="E33" s="102">
        <f>SUMIF('📋 ORDERS'!$K$4:$K$675,B33,'📋 ORDERS'!$L$4:$L$675)</f>
        <v>10</v>
      </c>
      <c r="F33" s="102">
        <f>SUMIF('📋 ORDERS'!$K$4:$K$675,B33,'📋 ORDERS'!$M$4:$M$675)</f>
        <v>10</v>
      </c>
      <c r="G33" s="102">
        <f>SUMIF('📋 ORDERS'!$K$4:$K$675,B33,'📋 ORDERS'!$V$4:$V$675)</f>
        <v>0</v>
      </c>
      <c r="H33" s="123">
        <f>IF(SUMIF('📋 ORDERS'!$K$4:$K$675,B33,'📋 ORDERS'!$L$4:$L$675)=0,0,SUMIF('📋 ORDERS'!$K$4:$K$675,B33,'📋 ORDERS'!$M$4:$M$675)/SUMIF('📋 ORDERS'!$K$4:$K$675,B33,'📋 ORDERS'!$L$4:$L$675))</f>
        <v>1</v>
      </c>
      <c r="I33" s="124">
        <f>SUMIF('📋 ORDERS'!$K$4:$K$675,B33,'📋 ORDERS'!$P$4:$P$675)</f>
        <v>3640.7999999999997</v>
      </c>
    </row>
    <row r="34" spans="2:9" ht="19.5" customHeight="1" x14ac:dyDescent="0.35">
      <c r="B34" s="224"/>
      <c r="C34" s="224"/>
      <c r="D34" s="224"/>
      <c r="E34" s="224"/>
      <c r="F34" s="224"/>
      <c r="G34" s="224"/>
      <c r="H34" s="224"/>
      <c r="I34" s="224"/>
    </row>
    <row r="35" spans="2:9" ht="21.75" customHeight="1" x14ac:dyDescent="0.35">
      <c r="B35" s="93" t="s">
        <v>418</v>
      </c>
    </row>
    <row r="36" spans="2:9" ht="18" customHeight="1" x14ac:dyDescent="0.35">
      <c r="B36" s="127" t="s">
        <v>419</v>
      </c>
      <c r="C36" s="127" t="s">
        <v>420</v>
      </c>
      <c r="D36" s="127" t="s">
        <v>368</v>
      </c>
      <c r="E36" s="127" t="s">
        <v>380</v>
      </c>
      <c r="F36" s="127" t="s">
        <v>399</v>
      </c>
      <c r="G36" s="127" t="s">
        <v>421</v>
      </c>
    </row>
    <row r="37" spans="2:9" ht="18" customHeight="1" x14ac:dyDescent="0.35">
      <c r="B37" s="128" t="s">
        <v>422</v>
      </c>
      <c r="C37" s="97">
        <f>COUNTIF('📋 ORDERS'!$Q$4:$Q$675,"&lt;&gt;0000000")</f>
        <v>672</v>
      </c>
      <c r="D37" s="97">
        <f>SUMIF('📋 ORDERS'!$Q$4:$Q$675,"&lt;&gt;0000000",'📋 ORDERS'!$L$4:$L$675)</f>
        <v>1443</v>
      </c>
      <c r="E37" s="97">
        <f>SUMIF('📋 ORDERS'!$Q$4:$Q$675,"&lt;&gt;0000000",'📋 ORDERS'!$M$4:$M$675)</f>
        <v>1178</v>
      </c>
      <c r="F37" s="98">
        <f>SUMIF('📋 ORDERS'!$Q$4:$Q$675,"&lt;&gt;0000000",'📋 ORDERS'!$P$4:$P$675)</f>
        <v>582941.25000000012</v>
      </c>
      <c r="G37" s="129">
        <f>E37/IF(SUM(E37:E38)=0,1,SUM(E37:E38))</f>
        <v>0.69294117647058828</v>
      </c>
    </row>
    <row r="38" spans="2:9" ht="14.25" customHeight="1" x14ac:dyDescent="0.35">
      <c r="B38" s="130" t="s">
        <v>423</v>
      </c>
      <c r="C38" s="102">
        <f>COUNTIF('📋 ORDERS'!$Q$4:$Q$675,"0000000")</f>
        <v>85</v>
      </c>
      <c r="D38" s="102">
        <f>SUMIF('📋 ORDERS'!$Q$4:$Q$675,"0000000",'📋 ORDERS'!$L$4:$L$675)</f>
        <v>661</v>
      </c>
      <c r="E38" s="102">
        <f>SUMIF('📋 ORDERS'!$Q$4:$Q$675,"0000000",'📋 ORDERS'!$M$4:$M$675)</f>
        <v>522</v>
      </c>
      <c r="F38" s="103">
        <f>SUMIF('📋 ORDERS'!$Q$4:$Q$675,"0000000",'📋 ORDERS'!$P$4:$P$675)</f>
        <v>365819.71999999991</v>
      </c>
      <c r="G38" s="131">
        <f>E38/IF(SUM(E37:E38)=0,1,SUM(E37:E38))</f>
        <v>0.30705882352941177</v>
      </c>
    </row>
    <row r="39" spans="2:9" ht="21.75" customHeight="1" x14ac:dyDescent="0.35">
      <c r="B39" s="224"/>
      <c r="C39" s="224"/>
      <c r="D39" s="224"/>
      <c r="E39" s="224"/>
      <c r="F39" s="224"/>
      <c r="G39" s="224"/>
    </row>
    <row r="40" spans="2:9" ht="21.75" customHeight="1" x14ac:dyDescent="0.35">
      <c r="B40" s="255" t="s">
        <v>424</v>
      </c>
      <c r="C40" s="255"/>
      <c r="D40" s="255"/>
      <c r="E40" s="255"/>
      <c r="F40" s="255"/>
      <c r="G40" s="255"/>
    </row>
    <row r="41" spans="2:9" ht="18" customHeight="1" x14ac:dyDescent="0.35">
      <c r="B41" s="132" t="s">
        <v>419</v>
      </c>
      <c r="C41" s="132" t="s">
        <v>420</v>
      </c>
      <c r="D41" s="132" t="s">
        <v>425</v>
      </c>
      <c r="E41" s="132" t="s">
        <v>399</v>
      </c>
      <c r="F41" s="132" t="s">
        <v>426</v>
      </c>
      <c r="G41" s="132" t="s">
        <v>427</v>
      </c>
    </row>
    <row r="42" spans="2:9" ht="18" customHeight="1" x14ac:dyDescent="0.35">
      <c r="B42" s="133" t="s">
        <v>428</v>
      </c>
      <c r="C42" s="134">
        <f>COUNTIF('📋 ORDERS'!$Y$4:$Y$675,"✔")</f>
        <v>50</v>
      </c>
      <c r="D42" s="134">
        <f>SUMIF('📋 ORDERS'!$Y$4:$Y$675,"✔",'📋 ORDERS'!$M$4:$M$675)</f>
        <v>470</v>
      </c>
      <c r="E42" s="135">
        <f>SUMIF('📋 ORDERS'!$Y$4:$Y$675,"✔",'📋 ORDERS'!$P$4:$P$675)</f>
        <v>116066.92000000003</v>
      </c>
      <c r="F42" s="136">
        <f>C42/IF(COUNTA('📋 ORDERS'!$B$4:$B$675)=0,1,COUNTA('📋 ORDERS'!$B$4:$B$675))</f>
        <v>0.37037037037037035</v>
      </c>
      <c r="G42" s="136">
        <f>E42/IF(SUM('📋 ORDERS'!$P$4:$P$675)=0,1,SUM('📋 ORDERS'!$P$4:$P$675))</f>
        <v>0.19910569032471112</v>
      </c>
    </row>
    <row r="43" spans="2:9" ht="18" customHeight="1" x14ac:dyDescent="0.35">
      <c r="B43" s="137" t="s">
        <v>429</v>
      </c>
      <c r="C43" s="138">
        <f>COUNTIF('📋 ORDERS'!$Y$4:$Y$675,"✘")</f>
        <v>62</v>
      </c>
      <c r="D43" s="138">
        <f>SUMIF('📋 ORDERS'!$Y$4:$Y$675,"✘",'📋 ORDERS'!$M$4:$M$675)</f>
        <v>416</v>
      </c>
      <c r="E43" s="139">
        <f>SUMIF('📋 ORDERS'!$Y$4:$Y$675,"✘",'📋 ORDERS'!$P$4:$P$675)</f>
        <v>282576.65000000008</v>
      </c>
      <c r="F43" s="140">
        <f>C43/IF(COUNTA('📋 ORDERS'!$B$4:$B$675)=0,1,COUNTA('📋 ORDERS'!$B$4:$B$675))</f>
        <v>0.45925925925925926</v>
      </c>
      <c r="G43" s="140">
        <f>E43/IF(SUM('📋 ORDERS'!$P$4:$P$675)=0,1,SUM('📋 ORDERS'!$P$4:$P$675))</f>
        <v>0.48474293078419139</v>
      </c>
    </row>
    <row r="44" spans="2:9" ht="18" customHeight="1" x14ac:dyDescent="0.35">
      <c r="B44" s="141" t="s">
        <v>430</v>
      </c>
      <c r="C44" s="134">
        <f>SUMPRODUCT(('📋 ORDERS'!$W$4:$W$675&lt;&gt;"")*('📋 ORDERS'!$W$4:$W$675&lt;&gt;0)*1)</f>
        <v>172</v>
      </c>
      <c r="D44" s="134">
        <f>SUMPRODUCT(('📋 ORDERS'!$W$4:$W$675&lt;&gt;"")*('📋 ORDERS'!$W$4:$W$675&lt;&gt;0)*('📋 ORDERS'!$M$4:$M$675))</f>
        <v>1178</v>
      </c>
      <c r="E44" s="135">
        <f>SUMPRODUCT(('📋 ORDERS'!$W$4:$W$675&lt;&gt;"")*('📋 ORDERS'!$W$4:$W$675&lt;&gt;0)*('📋 ORDERS'!$P$4:$P$675))</f>
        <v>582941.25000000012</v>
      </c>
      <c r="F44" s="142">
        <f>C44/IF(COUNTA('📋 ORDERS'!$B$4:$B$675)=0,1,COUNTA('📋 ORDERS'!$B$4:$B$675))</f>
        <v>1.2740740740740741</v>
      </c>
      <c r="G44" s="142">
        <f>E44/IF(SUM('📋 ORDERS'!$P$4:$P$675)=0,1,SUM('📋 ORDERS'!$P$4:$P$675))</f>
        <v>1</v>
      </c>
    </row>
    <row r="45" spans="2:9" ht="20" customHeight="1" x14ac:dyDescent="0.35">
      <c r="B45" s="137" t="s">
        <v>431</v>
      </c>
      <c r="C45" s="138">
        <f>COUNTIF('📋 ORDERS'!$Y$4:$Y$675,"⚠")</f>
        <v>15</v>
      </c>
      <c r="D45" s="138">
        <f>SUMIF('📋 ORDERS'!$Y$4:$Y$675,"⚠",'📋 ORDERS'!$M$4:$M$675)</f>
        <v>74</v>
      </c>
      <c r="E45" s="139">
        <f>SUMIF('📋 ORDERS'!$Y$4:$Y$675,"⚠",'📋 ORDERS'!$P$4:$P$675)</f>
        <v>11345.549999999997</v>
      </c>
      <c r="F45" s="140">
        <f>C45/IF(COUNTA('📋 ORDERS'!$B$4:$B$675)=0,1,COUNTA('📋 ORDERS'!$B$4:$B$675))</f>
        <v>0.1111111111111111</v>
      </c>
      <c r="G45" s="140">
        <f>E45/IF(SUM('📋 ORDERS'!$P$4:$P$675)=0,1,SUM('📋 ORDERS'!$P$4:$P$675))</f>
        <v>1.9462595930550455E-2</v>
      </c>
    </row>
    <row r="46" spans="2:9" ht="21.75" customHeight="1" x14ac:dyDescent="0.35">
      <c r="B46" s="143" t="s">
        <v>432</v>
      </c>
      <c r="C46" s="134">
        <f>COUNTIF('📋 ORDERS'!$Y$4:$Y$675,"📅")</f>
        <v>0</v>
      </c>
      <c r="D46" s="134">
        <f>SUMIF('📋 ORDERS'!$Y$4:$Y$675,"📅",'📋 ORDERS'!$M$4:$M$675)</f>
        <v>0</v>
      </c>
      <c r="E46" s="135">
        <f>SUMIF('📋 ORDERS'!$Y$4:$Y$675,"📅",'📋 ORDERS'!$P$4:$P$675)</f>
        <v>0</v>
      </c>
      <c r="F46" s="136">
        <f>C46/IF(COUNTA('📋 ORDERS'!$B$4:$B$675)=0,1,COUNTA('📋 ORDERS'!$B$4:$B$675))</f>
        <v>0</v>
      </c>
      <c r="G46" s="136">
        <f>E46/IF(SUM('📋 ORDERS'!$P$4:$P$675)=0,1,SUM('📋 ORDERS'!$P$4:$P$675))</f>
        <v>0</v>
      </c>
    </row>
    <row r="47" spans="2:9" ht="21.75" customHeight="1" x14ac:dyDescent="0.35">
      <c r="B47" s="137" t="s">
        <v>433</v>
      </c>
      <c r="C47" s="138">
        <f>COUNTIF('📋 ORDERS'!$Y$4:$Y$675,"🔮")</f>
        <v>37</v>
      </c>
      <c r="D47" s="138">
        <f>SUMIF('📋 ORDERS'!$Y$4:$Y$675,"🔮",'📋 ORDERS'!$M$4:$M$675)</f>
        <v>218</v>
      </c>
      <c r="E47" s="139">
        <f>SUMIF('📋 ORDERS'!$Y$4:$Y$675,"🔮",'📋 ORDERS'!$P$4:$P$675)</f>
        <v>147017.04999999999</v>
      </c>
      <c r="F47" s="140">
        <f>C47/IF(COUNTA('📋 ORDERS'!$B$4:$B$675)=0,1,COUNTA('📋 ORDERS'!$B$4:$B$675))</f>
        <v>0.27407407407407408</v>
      </c>
      <c r="G47" s="140">
        <f>E47/IF(SUM('📋 ORDERS'!$P$4:$P$675)=0,1,SUM('📋 ORDERS'!$P$4:$P$675))</f>
        <v>0.25219874215454807</v>
      </c>
    </row>
    <row r="48" spans="2:9" ht="18" customHeight="1" x14ac:dyDescent="0.35">
      <c r="B48" s="144" t="s">
        <v>434</v>
      </c>
      <c r="C48" s="134">
        <f>COUNTA('📋 ORDERS'!$B$4:$B$675)-COUNTIF('📋 ORDERS'!$Y$4:$Y$675,"✔")-COUNTIF('📋 ORDERS'!$Y$4:$Y$675,"✘")-COUNTIF('📋 ORDERS'!$Y$4:$Y$675,"⚠")-COUNTIF('📋 ORDERS'!$Y$4:$Y$675,"📅")-COUNTIF('📋 ORDERS'!$Y$4:$Y$675,"🔮")</f>
        <v>-29</v>
      </c>
      <c r="D48" s="134">
        <f>SUM('📋 ORDERS'!$M$4:$M$675)-SUMIF('📋 ORDERS'!$Y$4:$Y$675,"✔",'📋 ORDERS'!$M$4:$M$675)-SUMIF('📋 ORDERS'!$Y$4:$Y$675,"✘",'📋 ORDERS'!$M$4:$M$675)-SUMIF('📋 ORDERS'!$Y$4:$Y$675,"⚠",'📋 ORDERS'!$M$4:$M$675)-SUMIF('📋 ORDERS'!$Y$4:$Y$675,"📅",'📋 ORDERS'!$M$4:$M$675)-SUMIF('📋 ORDERS'!$Y$4:$Y$675,"🔮",'📋 ORDERS'!$M$4:$M$675)</f>
        <v>0</v>
      </c>
      <c r="E48" s="135">
        <f>SUM('📋 ORDERS'!$P$4:$P$675)-SUMIF('📋 ORDERS'!$Y$4:$Y$675,"✔",'📋 ORDERS'!$P$4:$P$675)-SUMIF('📋 ORDERS'!$Y$4:$Y$675,"✘",'📋 ORDERS'!$P$4:$P$675)-SUMIF('📋 ORDERS'!$Y$4:$Y$675,"⚠",'📋 ORDERS'!$P$4:$P$675)-SUMIF('📋 ORDERS'!$Y$4:$Y$675,"📅",'📋 ORDERS'!$P$4:$P$675)-SUMIF('📋 ORDERS'!$Y$4:$Y$675,"🔮",'📋 ORDERS'!$P$4:$P$675)</f>
        <v>25935.080000000016</v>
      </c>
      <c r="F48" s="136">
        <f>C48/IF(COUNTA('📋 ORDERS'!$B$4:$B$675)=0,1,COUNTA('📋 ORDERS'!$B$4:$B$675))</f>
        <v>-0.21481481481481482</v>
      </c>
      <c r="G48" s="136">
        <f>E48/IF(SUM('📋 ORDERS'!$P$4:$P$675)=0,1,SUM('📋 ORDERS'!$P$4:$P$675))</f>
        <v>4.4490040805998908E-2</v>
      </c>
    </row>
    <row r="49" spans="2:8" ht="18" customHeight="1" x14ac:dyDescent="0.35">
      <c r="F49" s="224"/>
      <c r="G49" s="224"/>
      <c r="H49" s="224"/>
    </row>
    <row r="50" spans="2:8" ht="18" customHeight="1" x14ac:dyDescent="0.35">
      <c r="B50" s="252" t="s">
        <v>435</v>
      </c>
      <c r="C50" s="252"/>
      <c r="D50" s="252"/>
      <c r="E50" s="252"/>
      <c r="F50" s="252"/>
      <c r="G50" s="252"/>
      <c r="H50" s="252"/>
    </row>
    <row r="51" spans="2:8" ht="18" customHeight="1" x14ac:dyDescent="0.35">
      <c r="B51" s="145" t="s">
        <v>419</v>
      </c>
      <c r="C51" s="145" t="s">
        <v>420</v>
      </c>
      <c r="D51" s="145" t="s">
        <v>425</v>
      </c>
      <c r="E51" s="145" t="s">
        <v>426</v>
      </c>
      <c r="F51" s="226" t="s">
        <v>436</v>
      </c>
      <c r="G51" s="226"/>
      <c r="H51" s="226"/>
    </row>
    <row r="52" spans="2:8" ht="18" customHeight="1" x14ac:dyDescent="0.35">
      <c r="B52" s="146" t="s">
        <v>437</v>
      </c>
      <c r="C52" s="147">
        <f>SUMPRODUCT(('📋 ORDERS'!$W$4:$W$675&lt;&gt;"")*('📋 ORDERS'!$W$4:$W$675&lt;&gt;0)*1)</f>
        <v>172</v>
      </c>
      <c r="D52" s="147">
        <f>SUMPRODUCT(('📋 ORDERS'!$W$4:$W$675&lt;&gt;"")*('📋 ORDERS'!$W$4:$W$675&lt;&gt;0)*('📋 ORDERS'!$M$4:$M$675))</f>
        <v>1178</v>
      </c>
      <c r="E52" s="148">
        <f>IF(COUNTA('📋 ORDERS'!$B$4:$B$675)=0,0,C52/COUNTA('📋 ORDERS'!$B$4:$B$675))</f>
        <v>1.2740740740740741</v>
      </c>
      <c r="F52" s="225" t="s">
        <v>438</v>
      </c>
      <c r="G52" s="225"/>
      <c r="H52" s="225"/>
    </row>
    <row r="53" spans="2:8" ht="14.25" customHeight="1" x14ac:dyDescent="0.35">
      <c r="B53" s="149" t="s">
        <v>428</v>
      </c>
      <c r="C53" s="150">
        <f>COUNTIF('📋 ORDERS'!$Y$4:$Y$675,"✔")</f>
        <v>50</v>
      </c>
      <c r="D53" s="150">
        <f>SUMIF('📋 ORDERS'!$Y$4:$Y$675,"✔",'📋 ORDERS'!$M$4:$M$675)</f>
        <v>470</v>
      </c>
      <c r="E53" s="151">
        <f>IF(COUNTA('📋 ORDERS'!$B$4:$B$675)=0,0,C53/COUNTA('📋 ORDERS'!$B$4:$B$675))</f>
        <v>0.37037037037037035</v>
      </c>
      <c r="F53" s="249" t="s">
        <v>439</v>
      </c>
      <c r="G53" s="250"/>
      <c r="H53" s="251"/>
    </row>
    <row r="54" spans="2:8" ht="14.25" customHeight="1" x14ac:dyDescent="0.35">
      <c r="B54" s="191" t="s">
        <v>431</v>
      </c>
      <c r="C54" s="147">
        <f>COUNTIF('📋 ORDERS'!$Y$4:$Y$675,"⚠")</f>
        <v>15</v>
      </c>
      <c r="D54" s="147">
        <f>SUMIF('📋 ORDERS'!$Y$4:$Y$675,"⚠",'📋 ORDERS'!$M$4:$M$675)</f>
        <v>74</v>
      </c>
      <c r="E54" s="148">
        <f>IF(COUNTA('📋 ORDERS'!$B$4:$B$675)=0,0,C54/COUNTA('📋 ORDERS'!$B$4:$B$675))</f>
        <v>0.1111111111111111</v>
      </c>
      <c r="F54" s="225" t="s">
        <v>440</v>
      </c>
      <c r="G54" s="225"/>
      <c r="H54" s="225"/>
    </row>
    <row r="55" spans="2:8" ht="14.25" customHeight="1" x14ac:dyDescent="0.35">
      <c r="B55" s="192" t="s">
        <v>432</v>
      </c>
      <c r="C55" s="150">
        <f>COUNTIF('📋 ORDERS'!$Y$4:$Y$675,"📅")</f>
        <v>0</v>
      </c>
      <c r="D55" s="150">
        <f>SUMIF('📋 ORDERS'!$Y$4:$Y$675,"📅",'📋 ORDERS'!$M$4:$M$675)</f>
        <v>0</v>
      </c>
      <c r="E55" s="151">
        <f>IF(COUNTA('📋 ORDERS'!$B$4:$B$675)=0,0,C55/COUNTA('📋 ORDERS'!$B$4:$B$675))</f>
        <v>0</v>
      </c>
      <c r="F55" s="249" t="s">
        <v>441</v>
      </c>
      <c r="G55" s="250"/>
      <c r="H55" s="251"/>
    </row>
    <row r="56" spans="2:8" ht="14.25" customHeight="1" x14ac:dyDescent="0.35">
      <c r="B56" s="193" t="s">
        <v>433</v>
      </c>
      <c r="C56" s="147">
        <f>COUNTIF('📋 ORDERS'!$Y$4:$Y$675,"🔮")</f>
        <v>37</v>
      </c>
      <c r="D56" s="147">
        <f>SUMIF('📋 ORDERS'!$Y$4:$Y$675,"🔮",'📋 ORDERS'!$M$4:$M$675)</f>
        <v>218</v>
      </c>
      <c r="E56" s="148">
        <f>IF(COUNTA('📋 ORDERS'!$B$4:$B$675)=0,0,C56/COUNTA('📋 ORDERS'!$B$4:$B$675))</f>
        <v>0.27407407407407408</v>
      </c>
      <c r="F56" s="225" t="s">
        <v>442</v>
      </c>
      <c r="G56" s="225"/>
      <c r="H56" s="225"/>
    </row>
    <row r="57" spans="2:8" ht="14.25" customHeight="1" x14ac:dyDescent="0.35">
      <c r="B57" s="149" t="s">
        <v>443</v>
      </c>
      <c r="C57" s="150">
        <f>SUMPRODUCT(('📋 ORDERS'!$W$4:$W$675&lt;&gt;"")*('📋 ORDERS'!$W$4:$W$675&lt;&gt;0)*('📋 ORDERS'!$Y$4:$Y$675="✔")*1)</f>
        <v>50</v>
      </c>
      <c r="D57" s="150">
        <f>SUMPRODUCT(('📋 ORDERS'!$W$4:$W$675&lt;&gt;"")*('📋 ORDERS'!$W$4:$W$675&lt;&gt;0)*('📋 ORDERS'!$Y$4:$Y$675="✔")*('📋 ORDERS'!$M$4:$M$675))</f>
        <v>470</v>
      </c>
      <c r="E57" s="151">
        <f>IF(COUNTA('📋 ORDERS'!$B$4:$B$675)=0,0,C57/COUNTA('📋 ORDERS'!$B$4:$B$675))</f>
        <v>0.37037037037037035</v>
      </c>
      <c r="F57" s="249" t="s">
        <v>444</v>
      </c>
      <c r="G57" s="250"/>
      <c r="H57" s="251"/>
    </row>
    <row r="58" spans="2:8" ht="14.25" customHeight="1" x14ac:dyDescent="0.35">
      <c r="B58" s="146" t="s">
        <v>445</v>
      </c>
      <c r="C58" s="147">
        <f>SUMPRODUCT(('📋 ORDERS'!$W$4:$W$675&lt;&gt;"")*('📋 ORDERS'!$W$4:$W$675&lt;&gt;0)*('📋 ORDERS'!$Y$4:$Y$675&lt;&gt;"✔")*1)</f>
        <v>122</v>
      </c>
      <c r="D58" s="147">
        <f>SUMPRODUCT(('📋 ORDERS'!$W$4:$W$675&lt;&gt;"")*('📋 ORDERS'!$W$4:$W$675&lt;&gt;0)*('📋 ORDERS'!$Y$4:$Y$675&lt;&gt;"✔")*('📋 ORDERS'!$M$4:$M$675))</f>
        <v>708</v>
      </c>
      <c r="E58" s="148">
        <f>IF(COUNTA('📋 ORDERS'!$B$4:$B$675)=0,0,C58/COUNTA('📋 ORDERS'!$B$4:$B$675))</f>
        <v>0.90370370370370368</v>
      </c>
      <c r="F58" s="225" t="s">
        <v>446</v>
      </c>
      <c r="G58" s="225"/>
      <c r="H58" s="225"/>
    </row>
    <row r="59" spans="2:8" ht="14.25" customHeight="1" x14ac:dyDescent="0.35">
      <c r="B59" s="190" t="s">
        <v>447</v>
      </c>
      <c r="C59" s="150">
        <f>COUNTA('📋 ORDERS'!$B$4:$B$675)-SUMPRODUCT(('📋 ORDERS'!$W$4:$W$675&lt;&gt;"")*('📋 ORDERS'!$W$4:$W$675&lt;&gt;0)*1)</f>
        <v>-37</v>
      </c>
      <c r="D59" s="150">
        <f>SUM('📋 ORDERS'!$M$4:$M$675)-SUMPRODUCT(('📋 ORDERS'!$W$4:$W$675&lt;&gt;"")*('📋 ORDERS'!$W$4:$W$675&lt;&gt;0)*('📋 ORDERS'!$M$4:$M$675))</f>
        <v>0</v>
      </c>
      <c r="E59" s="151">
        <f>IF(COUNTA('📋 ORDERS'!$B$4:$B$675)=0,0,C59/COUNTA('📋 ORDERS'!$B$4:$B$675))</f>
        <v>-0.27407407407407408</v>
      </c>
      <c r="F59" s="249" t="s">
        <v>448</v>
      </c>
      <c r="G59" s="250"/>
      <c r="H59" s="251"/>
    </row>
  </sheetData>
  <mergeCells count="62">
    <mergeCell ref="F57:H57"/>
    <mergeCell ref="F58:H58"/>
    <mergeCell ref="F59:H59"/>
    <mergeCell ref="B50:H50"/>
    <mergeCell ref="B26:C26"/>
    <mergeCell ref="B40:G40"/>
    <mergeCell ref="F53:H53"/>
    <mergeCell ref="F54:H54"/>
    <mergeCell ref="F55:H55"/>
    <mergeCell ref="F56:H56"/>
    <mergeCell ref="A1:M1"/>
    <mergeCell ref="A2:M2"/>
    <mergeCell ref="B4:C4"/>
    <mergeCell ref="D4:E4"/>
    <mergeCell ref="F4:G4"/>
    <mergeCell ref="H4:I4"/>
    <mergeCell ref="J4:K4"/>
    <mergeCell ref="L4:M4"/>
    <mergeCell ref="L5:M5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  <mergeCell ref="L7:M7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B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5:I15"/>
    <mergeCell ref="B27:I27"/>
    <mergeCell ref="B34:I34"/>
    <mergeCell ref="B39:G39"/>
    <mergeCell ref="F52:H52"/>
    <mergeCell ref="F49:H49"/>
    <mergeCell ref="F51:H51"/>
  </mergeCells>
  <pageMargins left="0.75" right="0.75" top="1" bottom="1" header="0.511811023622047" footer="0.511811023622047"/>
  <pageSetup paperSize="9" scale="4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33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17" width="10" customWidth="1"/>
    <col min="18" max="20" width="10" hidden="1" customWidth="1"/>
    <col min="21" max="22" width="13" hidden="1" customWidth="1"/>
  </cols>
  <sheetData>
    <row r="1" spans="1:21" ht="43.5" customHeight="1" x14ac:dyDescent="0.35">
      <c r="A1" s="268" t="s">
        <v>449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268"/>
      <c r="N1" s="268"/>
      <c r="O1" s="268"/>
      <c r="P1" s="268"/>
      <c r="Q1" s="268"/>
      <c r="R1" s="268"/>
      <c r="S1" s="268"/>
      <c r="T1" s="268"/>
    </row>
    <row r="2" spans="1:21" ht="18" customHeight="1" x14ac:dyDescent="0.35">
      <c r="A2" s="269" t="s">
        <v>450</v>
      </c>
      <c r="B2" s="269"/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69"/>
      <c r="P2" s="269"/>
      <c r="Q2" s="269"/>
      <c r="R2" s="269"/>
      <c r="S2" s="269"/>
      <c r="T2" s="269"/>
    </row>
    <row r="3" spans="1:21" ht="7.5" customHeight="1" x14ac:dyDescent="0.35"/>
    <row r="4" spans="1:21" ht="15.75" customHeight="1" x14ac:dyDescent="0.35">
      <c r="B4" s="270" t="s">
        <v>451</v>
      </c>
      <c r="C4" s="270"/>
      <c r="D4" s="270" t="s">
        <v>452</v>
      </c>
      <c r="E4" s="270"/>
      <c r="F4" s="270" t="s">
        <v>453</v>
      </c>
      <c r="G4" s="270"/>
      <c r="H4" s="270" t="s">
        <v>454</v>
      </c>
      <c r="I4" s="270"/>
      <c r="J4" s="270" t="s">
        <v>455</v>
      </c>
      <c r="K4" s="270"/>
      <c r="L4" s="270" t="s">
        <v>456</v>
      </c>
      <c r="M4" s="270"/>
    </row>
    <row r="5" spans="1:21" ht="36" customHeight="1" x14ac:dyDescent="0.35">
      <c r="B5" s="263">
        <f>SUM('📋 ORDERS'!$P$4:$P$675)</f>
        <v>582941.25000000012</v>
      </c>
      <c r="C5" s="263"/>
      <c r="D5" s="264">
        <f>COUNTA('📋 ORDERS'!$B$4:$B$675)</f>
        <v>135</v>
      </c>
      <c r="E5" s="264"/>
      <c r="F5" s="265">
        <f>SUM('📋 ORDERS'!$M$4:$M$675)</f>
        <v>1178</v>
      </c>
      <c r="G5" s="265"/>
      <c r="H5" s="266">
        <f>SUM('📋 ORDERS'!$V$4:$V$675)</f>
        <v>265</v>
      </c>
      <c r="I5" s="266"/>
      <c r="J5" s="267">
        <f>IF(SUM('📋 ORDERS'!$L$4:$L$675)=0,0,SUM('📋 ORDERS'!$M$4:$M$675)/SUM('📋 ORDERS'!$L$4:$L$675))</f>
        <v>0.81635481635481633</v>
      </c>
      <c r="K5" s="267"/>
      <c r="L5" s="256">
        <f>COUNTIF('📋 ORDERS'!$Y$4:$Y$675,"✔")</f>
        <v>50</v>
      </c>
      <c r="M5" s="256"/>
    </row>
    <row r="6" spans="1:21" ht="6" customHeight="1" x14ac:dyDescent="0.35">
      <c r="B6" s="257"/>
      <c r="C6" s="257"/>
      <c r="D6" s="258"/>
      <c r="E6" s="258"/>
      <c r="F6" s="259"/>
      <c r="G6" s="259"/>
      <c r="H6" s="260"/>
      <c r="I6" s="260"/>
      <c r="J6" s="261"/>
      <c r="K6" s="261"/>
      <c r="L6" s="262"/>
      <c r="M6" s="262"/>
    </row>
    <row r="7" spans="1:21" ht="13.5" customHeight="1" x14ac:dyDescent="0.35"/>
    <row r="9" spans="1:21" ht="15" customHeight="1" x14ac:dyDescent="0.35">
      <c r="R9" t="s">
        <v>23</v>
      </c>
      <c r="S9" t="s">
        <v>457</v>
      </c>
      <c r="T9" t="s">
        <v>368</v>
      </c>
      <c r="U9" t="s">
        <v>369</v>
      </c>
    </row>
    <row r="10" spans="1:21" ht="15" customHeight="1" x14ac:dyDescent="0.35">
      <c r="R10" t="s">
        <v>401</v>
      </c>
      <c r="S10">
        <v>39880.959999999999</v>
      </c>
      <c r="T10">
        <v>102</v>
      </c>
      <c r="U10">
        <v>102</v>
      </c>
    </row>
    <row r="11" spans="1:21" ht="15" customHeight="1" x14ac:dyDescent="0.35">
      <c r="R11" t="s">
        <v>402</v>
      </c>
      <c r="S11">
        <v>64621.08</v>
      </c>
      <c r="T11">
        <v>363</v>
      </c>
      <c r="U11">
        <v>363</v>
      </c>
    </row>
    <row r="12" spans="1:21" ht="15" customHeight="1" x14ac:dyDescent="0.35">
      <c r="R12" t="s">
        <v>403</v>
      </c>
      <c r="S12">
        <v>112760.36</v>
      </c>
      <c r="T12">
        <v>272</v>
      </c>
      <c r="U12">
        <v>272</v>
      </c>
    </row>
    <row r="13" spans="1:21" ht="15" customHeight="1" x14ac:dyDescent="0.35">
      <c r="R13" t="s">
        <v>404</v>
      </c>
      <c r="S13">
        <v>129525.37</v>
      </c>
      <c r="T13">
        <v>72</v>
      </c>
      <c r="U13">
        <v>0</v>
      </c>
    </row>
    <row r="14" spans="1:21" ht="15" customHeight="1" x14ac:dyDescent="0.35">
      <c r="R14" t="s">
        <v>405</v>
      </c>
      <c r="S14">
        <v>61501.8</v>
      </c>
      <c r="T14">
        <v>110</v>
      </c>
      <c r="U14">
        <v>0</v>
      </c>
    </row>
    <row r="15" spans="1:21" ht="15" customHeight="1" x14ac:dyDescent="0.35">
      <c r="R15" t="s">
        <v>406</v>
      </c>
      <c r="S15">
        <v>39369.660000000003</v>
      </c>
      <c r="T15">
        <v>218</v>
      </c>
      <c r="U15">
        <v>0</v>
      </c>
    </row>
    <row r="16" spans="1:21" ht="15" customHeight="1" x14ac:dyDescent="0.35">
      <c r="R16" t="s">
        <v>407</v>
      </c>
      <c r="S16">
        <v>13852.11</v>
      </c>
      <c r="T16">
        <v>31</v>
      </c>
      <c r="U16">
        <v>0</v>
      </c>
    </row>
    <row r="17" spans="18:21" ht="15" customHeight="1" x14ac:dyDescent="0.35">
      <c r="R17" t="s">
        <v>408</v>
      </c>
      <c r="S17">
        <v>869.54</v>
      </c>
      <c r="T17">
        <v>10</v>
      </c>
      <c r="U17">
        <v>0</v>
      </c>
    </row>
    <row r="20" spans="18:21" ht="15" customHeight="1" x14ac:dyDescent="0.35">
      <c r="R20" t="s">
        <v>17</v>
      </c>
      <c r="S20" t="s">
        <v>457</v>
      </c>
      <c r="T20" t="s">
        <v>458</v>
      </c>
      <c r="U20" t="s">
        <v>459</v>
      </c>
    </row>
    <row r="21" spans="18:21" ht="15" customHeight="1" x14ac:dyDescent="0.35">
      <c r="R21" t="s">
        <v>460</v>
      </c>
      <c r="S21">
        <v>444174.21</v>
      </c>
      <c r="T21">
        <v>1108</v>
      </c>
      <c r="U21">
        <v>684</v>
      </c>
    </row>
    <row r="22" spans="18:21" ht="15" customHeight="1" x14ac:dyDescent="0.35">
      <c r="R22" t="s">
        <v>461</v>
      </c>
      <c r="S22">
        <v>3640.8</v>
      </c>
      <c r="T22">
        <v>10</v>
      </c>
      <c r="U22">
        <v>10</v>
      </c>
    </row>
    <row r="23" spans="18:21" ht="15" customHeight="1" x14ac:dyDescent="0.35">
      <c r="R23" t="s">
        <v>462</v>
      </c>
      <c r="S23">
        <v>13159.19</v>
      </c>
      <c r="T23">
        <v>24</v>
      </c>
      <c r="U23">
        <v>7</v>
      </c>
    </row>
    <row r="24" spans="18:21" ht="15" customHeight="1" x14ac:dyDescent="0.35">
      <c r="R24" t="s">
        <v>463</v>
      </c>
      <c r="S24">
        <v>1406.68</v>
      </c>
      <c r="T24">
        <v>36</v>
      </c>
      <c r="U24">
        <v>36</v>
      </c>
    </row>
    <row r="26" spans="18:21" ht="15" customHeight="1" x14ac:dyDescent="0.35">
      <c r="R26" t="s">
        <v>419</v>
      </c>
      <c r="S26" t="s">
        <v>464</v>
      </c>
    </row>
    <row r="27" spans="18:21" ht="15" customHeight="1" x14ac:dyDescent="0.35">
      <c r="R27" t="s">
        <v>465</v>
      </c>
      <c r="S27">
        <v>737</v>
      </c>
    </row>
    <row r="28" spans="18:21" ht="15" customHeight="1" x14ac:dyDescent="0.35">
      <c r="R28" t="s">
        <v>466</v>
      </c>
      <c r="S28">
        <v>441</v>
      </c>
    </row>
    <row r="30" spans="18:21" ht="15" customHeight="1" x14ac:dyDescent="0.35">
      <c r="R30" t="s">
        <v>419</v>
      </c>
      <c r="S30" t="s">
        <v>464</v>
      </c>
    </row>
    <row r="31" spans="18:21" ht="15" customHeight="1" x14ac:dyDescent="0.35">
      <c r="R31" t="s">
        <v>467</v>
      </c>
      <c r="S31">
        <v>135</v>
      </c>
    </row>
    <row r="32" spans="18:21" ht="15" customHeight="1" x14ac:dyDescent="0.35">
      <c r="R32" t="s">
        <v>468</v>
      </c>
      <c r="S32">
        <v>0</v>
      </c>
    </row>
    <row r="33" spans="18:19" ht="15" customHeight="1" x14ac:dyDescent="0.35">
      <c r="R33" t="s">
        <v>469</v>
      </c>
      <c r="S33">
        <v>0</v>
      </c>
    </row>
  </sheetData>
  <mergeCells count="20">
    <mergeCell ref="A1:T1"/>
    <mergeCell ref="A2:T2"/>
    <mergeCell ref="B4:C4"/>
    <mergeCell ref="D4:E4"/>
    <mergeCell ref="F4:G4"/>
    <mergeCell ref="H4:I4"/>
    <mergeCell ref="J4:K4"/>
    <mergeCell ref="L4:M4"/>
    <mergeCell ref="L5:M5"/>
    <mergeCell ref="B6:C6"/>
    <mergeCell ref="D6:E6"/>
    <mergeCell ref="F6:G6"/>
    <mergeCell ref="H6:I6"/>
    <mergeCell ref="J6:K6"/>
    <mergeCell ref="L6:M6"/>
    <mergeCell ref="B5:C5"/>
    <mergeCell ref="D5:E5"/>
    <mergeCell ref="F5:G5"/>
    <mergeCell ref="H5:I5"/>
    <mergeCell ref="J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showGridLines="0" zoomScaleNormal="100" workbookViewId="0">
      <pane ySplit="3" topLeftCell="A4" activePane="bottomLeft" state="frozen"/>
      <selection pane="bottomLeft" activeCell="A14" sqref="A14:B14"/>
    </sheetView>
  </sheetViews>
  <sheetFormatPr defaultColWidth="8.6328125" defaultRowHeight="14.5" x14ac:dyDescent="0.35"/>
  <cols>
    <col min="1" max="2" width="22" customWidth="1"/>
    <col min="3" max="3" width="10" customWidth="1"/>
    <col min="4" max="6" width="12" customWidth="1"/>
    <col min="7" max="7" width="11" customWidth="1"/>
    <col min="8" max="8" width="16" customWidth="1"/>
    <col min="9" max="9" width="12" customWidth="1"/>
    <col min="10" max="10" width="14" customWidth="1"/>
  </cols>
  <sheetData>
    <row r="1" spans="1:10" ht="34.5" customHeight="1" x14ac:dyDescent="0.35">
      <c r="A1" s="197" t="s">
        <v>470</v>
      </c>
      <c r="B1" s="197"/>
      <c r="C1" s="197"/>
      <c r="D1" s="197"/>
      <c r="E1" s="197"/>
      <c r="F1" s="197"/>
      <c r="G1" s="197"/>
      <c r="H1" s="197"/>
      <c r="I1" s="197"/>
      <c r="J1" s="197"/>
    </row>
    <row r="2" spans="1:10" ht="18" hidden="1" customHeight="1" x14ac:dyDescent="0.35">
      <c r="A2" s="198" t="s">
        <v>471</v>
      </c>
      <c r="B2" s="198"/>
      <c r="C2" s="198"/>
      <c r="D2" s="198"/>
      <c r="E2" s="198"/>
      <c r="F2" s="198"/>
      <c r="G2" s="198"/>
      <c r="H2" s="198"/>
      <c r="I2" s="198"/>
      <c r="J2" s="198"/>
    </row>
    <row r="3" spans="1:10" ht="9.75" customHeight="1" x14ac:dyDescent="0.35"/>
    <row r="4" spans="1:10" ht="27.75" customHeight="1" x14ac:dyDescent="0.35">
      <c r="A4" s="94" t="s">
        <v>23</v>
      </c>
      <c r="B4" s="94" t="s">
        <v>396</v>
      </c>
      <c r="C4" s="94" t="s">
        <v>397</v>
      </c>
      <c r="D4" s="94" t="s">
        <v>368</v>
      </c>
      <c r="E4" s="94" t="s">
        <v>380</v>
      </c>
      <c r="F4" s="94" t="s">
        <v>398</v>
      </c>
      <c r="G4" s="94" t="s">
        <v>413</v>
      </c>
      <c r="H4" s="94" t="s">
        <v>399</v>
      </c>
      <c r="I4" s="94" t="s">
        <v>472</v>
      </c>
      <c r="J4" s="94" t="s">
        <v>467</v>
      </c>
    </row>
    <row r="5" spans="1:10" ht="19.5" customHeight="1" x14ac:dyDescent="0.35">
      <c r="A5" s="95" t="s">
        <v>38</v>
      </c>
      <c r="B5" s="152" t="s">
        <v>401</v>
      </c>
      <c r="C5" s="97">
        <f>COUNTIF('📋 ORDERS'!$R$4:$R$675,A5)</f>
        <v>65</v>
      </c>
      <c r="D5" s="97">
        <f>SUMIF('📋 ORDERS'!$R$4:$R$675,A5,'📋 ORDERS'!$L$4:$L$675)</f>
        <v>544</v>
      </c>
      <c r="E5" s="97">
        <f>SUMIF('📋 ORDERS'!$R$4:$R$675,A5,'📋 ORDERS'!$M$4:$M$675)</f>
        <v>544</v>
      </c>
      <c r="F5" s="97">
        <f>SUMIF('📋 ORDERS'!$R$4:$R$675,A5,'📋 ORDERS'!$V$4:$V$675)</f>
        <v>0</v>
      </c>
      <c r="G5" s="153">
        <f>IF(SUMIF('📋 ORDERS'!$R$4:$R$675,A5,'📋 ORDERS'!$L$4:$L$675)=0,0,SUMIF('📋 ORDERS'!$R$4:$R$675,A5,'📋 ORDERS'!$M$4:$M$675)/SUMIF('📋 ORDERS'!$R$4:$R$675,A5,'📋 ORDERS'!$L$4:$L$675))</f>
        <v>1</v>
      </c>
      <c r="H5" s="98">
        <f>SUMIF('📋 ORDERS'!$R$4:$R$675,A5,'📋 ORDERS'!$P$4:$P$675)</f>
        <v>127412.47000000004</v>
      </c>
      <c r="I5" s="99">
        <f>COUNTIFS('📋 ORDERS'!$R$4:$R$675,A5,'📋 ORDERS'!$Y$4:$Y$675,"✔")</f>
        <v>50</v>
      </c>
      <c r="J5" s="154">
        <f>SUMPRODUCT(('📋 ORDERS'!$R$4:$R$675=A5)*('📋 ORDERS'!$W$4:$W$675&lt;&gt;"")*('📋 ORDERS'!$W$4:$W$675&lt;&gt;0)*1)</f>
        <v>65</v>
      </c>
    </row>
    <row r="6" spans="1:10" ht="19.5" customHeight="1" x14ac:dyDescent="0.35">
      <c r="A6" s="100" t="s">
        <v>114</v>
      </c>
      <c r="B6" s="155" t="s">
        <v>402</v>
      </c>
      <c r="C6" s="102">
        <f>COUNTIF('📋 ORDERS'!$R$4:$R$675,A6)</f>
        <v>14</v>
      </c>
      <c r="D6" s="102">
        <f>SUMIF('📋 ORDERS'!$R$4:$R$675,A6,'📋 ORDERS'!$L$4:$L$675)</f>
        <v>112</v>
      </c>
      <c r="E6" s="102">
        <f>SUMIF('📋 ORDERS'!$R$4:$R$675,A6,'📋 ORDERS'!$M$4:$M$675)</f>
        <v>112</v>
      </c>
      <c r="F6" s="102">
        <f>SUMIF('📋 ORDERS'!$R$4:$R$675,A6,'📋 ORDERS'!$V$4:$V$675)</f>
        <v>0</v>
      </c>
      <c r="G6" s="156">
        <f>IF(SUMIF('📋 ORDERS'!$R$4:$R$675,A6,'📋 ORDERS'!$L$4:$L$675)=0,0,SUMIF('📋 ORDERS'!$R$4:$R$675,A6,'📋 ORDERS'!$M$4:$M$675)/SUMIF('📋 ORDERS'!$R$4:$R$675,A6,'📋 ORDERS'!$L$4:$L$675))</f>
        <v>1</v>
      </c>
      <c r="H6" s="103">
        <f>SUMIF('📋 ORDERS'!$R$4:$R$675,A6,'📋 ORDERS'!$P$4:$P$675)</f>
        <v>63773.98</v>
      </c>
      <c r="I6" s="104">
        <f>COUNTIFS('📋 ORDERS'!$R$4:$R$675,A6,'📋 ORDERS'!$Y$4:$Y$675,"✔")</f>
        <v>0</v>
      </c>
      <c r="J6" s="157">
        <f>SUMPRODUCT(('📋 ORDERS'!$R$4:$R$675=A6)*('📋 ORDERS'!$W$4:$W$675&lt;&gt;"")*('📋 ORDERS'!$W$4:$W$675&lt;&gt;0)*1)</f>
        <v>14</v>
      </c>
    </row>
    <row r="7" spans="1:10" ht="19.5" customHeight="1" x14ac:dyDescent="0.35">
      <c r="A7" s="105" t="s">
        <v>68</v>
      </c>
      <c r="B7" s="152" t="s">
        <v>403</v>
      </c>
      <c r="C7" s="97">
        <f>COUNTIF('📋 ORDERS'!$R$4:$R$675,A7)</f>
        <v>38</v>
      </c>
      <c r="D7" s="97">
        <f>SUMIF('📋 ORDERS'!$R$4:$R$675,A7,'📋 ORDERS'!$L$4:$L$675)</f>
        <v>254</v>
      </c>
      <c r="E7" s="97">
        <f>SUMIF('📋 ORDERS'!$R$4:$R$675,A7,'📋 ORDERS'!$M$4:$M$675)</f>
        <v>251</v>
      </c>
      <c r="F7" s="97">
        <f>SUMIF('📋 ORDERS'!$R$4:$R$675,A7,'📋 ORDERS'!$V$4:$V$675)</f>
        <v>3</v>
      </c>
      <c r="G7" s="153">
        <f>IF(SUMIF('📋 ORDERS'!$R$4:$R$675,A7,'📋 ORDERS'!$L$4:$L$675)=0,0,SUMIF('📋 ORDERS'!$R$4:$R$675,A7,'📋 ORDERS'!$M$4:$M$675)/SUMIF('📋 ORDERS'!$R$4:$R$675,A7,'📋 ORDERS'!$L$4:$L$675))</f>
        <v>0.98818897637795278</v>
      </c>
      <c r="H7" s="98">
        <f>SUMIF('📋 ORDERS'!$R$4:$R$675,A7,'📋 ORDERS'!$P$4:$P$675)</f>
        <v>153391.42999999993</v>
      </c>
      <c r="I7" s="99">
        <f>COUNTIFS('📋 ORDERS'!$R$4:$R$675,A7,'📋 ORDERS'!$Y$4:$Y$675,"✔")</f>
        <v>0</v>
      </c>
      <c r="J7" s="154">
        <f>SUMPRODUCT(('📋 ORDERS'!$R$4:$R$675=A7)*('📋 ORDERS'!$W$4:$W$675&lt;&gt;"")*('📋 ORDERS'!$W$4:$W$675&lt;&gt;0)*1)</f>
        <v>38</v>
      </c>
    </row>
    <row r="8" spans="1:10" ht="19.5" customHeight="1" x14ac:dyDescent="0.35">
      <c r="A8" s="106" t="s">
        <v>219</v>
      </c>
      <c r="B8" s="155" t="s">
        <v>404</v>
      </c>
      <c r="C8" s="102">
        <f>COUNTIF('📋 ORDERS'!$R$4:$R$675,A8)</f>
        <v>3</v>
      </c>
      <c r="D8" s="102">
        <f>SUMIF('📋 ORDERS'!$R$4:$R$675,A8,'📋 ORDERS'!$L$4:$L$675)</f>
        <v>7</v>
      </c>
      <c r="E8" s="102">
        <f>SUMIF('📋 ORDERS'!$R$4:$R$675,A8,'📋 ORDERS'!$M$4:$M$675)</f>
        <v>7</v>
      </c>
      <c r="F8" s="102">
        <f>SUMIF('📋 ORDERS'!$R$4:$R$675,A8,'📋 ORDERS'!$V$4:$V$675)</f>
        <v>0</v>
      </c>
      <c r="G8" s="156">
        <f>IF(SUMIF('📋 ORDERS'!$R$4:$R$675,A8,'📋 ORDERS'!$L$4:$L$675)=0,0,SUMIF('📋 ORDERS'!$R$4:$R$675,A8,'📋 ORDERS'!$M$4:$M$675)/SUMIF('📋 ORDERS'!$R$4:$R$675,A8,'📋 ORDERS'!$L$4:$L$675))</f>
        <v>1</v>
      </c>
      <c r="H8" s="103">
        <f>SUMIF('📋 ORDERS'!$R$4:$R$675,A8,'📋 ORDERS'!$P$4:$P$675)</f>
        <v>258.29999999999995</v>
      </c>
      <c r="I8" s="104">
        <f>COUNTIFS('📋 ORDERS'!$R$4:$R$675,A8,'📋 ORDERS'!$Y$4:$Y$675,"✔")</f>
        <v>0</v>
      </c>
      <c r="J8" s="157">
        <f>SUMPRODUCT(('📋 ORDERS'!$R$4:$R$675=A8)*('📋 ORDERS'!$W$4:$W$675&lt;&gt;"")*('📋 ORDERS'!$W$4:$W$675&lt;&gt;0)*1)</f>
        <v>3</v>
      </c>
    </row>
    <row r="9" spans="1:10" ht="19.5" customHeight="1" x14ac:dyDescent="0.35">
      <c r="A9" s="107" t="s">
        <v>107</v>
      </c>
      <c r="B9" s="152" t="s">
        <v>405</v>
      </c>
      <c r="C9" s="97">
        <f>COUNTIF('📋 ORDERS'!$R$4:$R$675,A9)</f>
        <v>4</v>
      </c>
      <c r="D9" s="97">
        <f>SUMIF('📋 ORDERS'!$R$4:$R$675,A9,'📋 ORDERS'!$L$4:$L$675)</f>
        <v>188</v>
      </c>
      <c r="E9" s="97">
        <f>SUMIF('📋 ORDERS'!$R$4:$R$675,A9,'📋 ORDERS'!$M$4:$M$675)</f>
        <v>188</v>
      </c>
      <c r="F9" s="97">
        <f>SUMIF('📋 ORDERS'!$R$4:$R$675,A9,'📋 ORDERS'!$V$4:$V$675)</f>
        <v>0</v>
      </c>
      <c r="G9" s="153">
        <f>IF(SUMIF('📋 ORDERS'!$R$4:$R$675,A9,'📋 ORDERS'!$L$4:$L$675)=0,0,SUMIF('📋 ORDERS'!$R$4:$R$675,A9,'📋 ORDERS'!$M$4:$M$675)/SUMIF('📋 ORDERS'!$R$4:$R$675,A9,'📋 ORDERS'!$L$4:$L$675))</f>
        <v>1</v>
      </c>
      <c r="H9" s="98">
        <f>SUMIF('📋 ORDERS'!$R$4:$R$675,A9,'📋 ORDERS'!$P$4:$P$675)</f>
        <v>37416.300000000003</v>
      </c>
      <c r="I9" s="99">
        <f>COUNTIFS('📋 ORDERS'!$R$4:$R$675,A9,'📋 ORDERS'!$Y$4:$Y$675,"✔")</f>
        <v>0</v>
      </c>
      <c r="J9" s="154">
        <f>SUMPRODUCT(('📋 ORDERS'!$R$4:$R$675=A9)*('📋 ORDERS'!$W$4:$W$675&lt;&gt;"")*('📋 ORDERS'!$W$4:$W$675&lt;&gt;0)*1)</f>
        <v>4</v>
      </c>
    </row>
    <row r="10" spans="1:10" ht="19.5" customHeight="1" x14ac:dyDescent="0.35">
      <c r="A10" s="108" t="s">
        <v>225</v>
      </c>
      <c r="B10" s="155" t="s">
        <v>406</v>
      </c>
      <c r="C10" s="102">
        <f>COUNTIF('📋 ORDERS'!$R$4:$R$675,A10)</f>
        <v>21</v>
      </c>
      <c r="D10" s="102">
        <f>SUMIF('📋 ORDERS'!$R$4:$R$675,A10,'📋 ORDERS'!$L$4:$L$675)</f>
        <v>135</v>
      </c>
      <c r="E10" s="102">
        <f>SUMIF('📋 ORDERS'!$R$4:$R$675,A10,'📋 ORDERS'!$M$4:$M$675)</f>
        <v>16</v>
      </c>
      <c r="F10" s="102">
        <f>SUMIF('📋 ORDERS'!$R$4:$R$675,A10,'📋 ORDERS'!$V$4:$V$675)</f>
        <v>119</v>
      </c>
      <c r="G10" s="156">
        <f>IF(SUMIF('📋 ORDERS'!$R$4:$R$675,A10,'📋 ORDERS'!$L$4:$L$675)=0,0,SUMIF('📋 ORDERS'!$R$4:$R$675,A10,'📋 ORDERS'!$M$4:$M$675)/SUMIF('📋 ORDERS'!$R$4:$R$675,A10,'📋 ORDERS'!$L$4:$L$675))</f>
        <v>0.11851851851851852</v>
      </c>
      <c r="H10" s="103">
        <f>SUMIF('📋 ORDERS'!$R$4:$R$675,A10,'📋 ORDERS'!$P$4:$P$675)</f>
        <v>88432.530000000013</v>
      </c>
      <c r="I10" s="104">
        <f>COUNTIFS('📋 ORDERS'!$R$4:$R$675,A10,'📋 ORDERS'!$Y$4:$Y$675,"✔")</f>
        <v>0</v>
      </c>
      <c r="J10" s="157">
        <f>SUMPRODUCT(('📋 ORDERS'!$R$4:$R$675=A10)*('📋 ORDERS'!$W$4:$W$675&lt;&gt;"")*('📋 ORDERS'!$W$4:$W$675&lt;&gt;0)*1)</f>
        <v>21</v>
      </c>
    </row>
    <row r="11" spans="1:10" ht="19.5" customHeight="1" x14ac:dyDescent="0.35">
      <c r="A11" s="110" t="s">
        <v>72</v>
      </c>
      <c r="B11" s="152" t="s">
        <v>407</v>
      </c>
      <c r="C11" s="97">
        <f>COUNTIF('📋 ORDERS'!$R$4:$R$675,A11)</f>
        <v>9</v>
      </c>
      <c r="D11" s="97">
        <f>SUMIF('📋 ORDERS'!$R$4:$R$675,A11,'📋 ORDERS'!$L$4:$L$675)</f>
        <v>46</v>
      </c>
      <c r="E11" s="97">
        <f>SUMIF('📋 ORDERS'!$R$4:$R$675,A11,'📋 ORDERS'!$M$4:$M$675)</f>
        <v>29</v>
      </c>
      <c r="F11" s="97">
        <f>SUMIF('📋 ORDERS'!$R$4:$R$675,A11,'📋 ORDERS'!$V$4:$V$675)</f>
        <v>17</v>
      </c>
      <c r="G11" s="153">
        <f>IF(SUMIF('📋 ORDERS'!$R$4:$R$675,A11,'📋 ORDERS'!$L$4:$L$675)=0,0,SUMIF('📋 ORDERS'!$R$4:$R$675,A11,'📋 ORDERS'!$M$4:$M$675)/SUMIF('📋 ORDERS'!$R$4:$R$675,A11,'📋 ORDERS'!$L$4:$L$675))</f>
        <v>0.63043478260869568</v>
      </c>
      <c r="H11" s="98">
        <f>SUMIF('📋 ORDERS'!$R$4:$R$675,A11,'📋 ORDERS'!$P$4:$P$675)</f>
        <v>78192.499999999985</v>
      </c>
      <c r="I11" s="99">
        <f>COUNTIFS('📋 ORDERS'!$R$4:$R$675,A11,'📋 ORDERS'!$Y$4:$Y$675,"✔")</f>
        <v>0</v>
      </c>
      <c r="J11" s="154">
        <f>SUMPRODUCT(('📋 ORDERS'!$R$4:$R$675=A11)*('📋 ORDERS'!$W$4:$W$675&lt;&gt;"")*('📋 ORDERS'!$W$4:$W$675&lt;&gt;0)*1)</f>
        <v>9</v>
      </c>
    </row>
    <row r="12" spans="1:10" ht="19.5" customHeight="1" x14ac:dyDescent="0.35">
      <c r="A12" s="111" t="s">
        <v>313</v>
      </c>
      <c r="B12" s="155" t="s">
        <v>408</v>
      </c>
      <c r="C12" s="102">
        <f>COUNTIF('📋 ORDERS'!$R$4:$R$675,A12)</f>
        <v>10</v>
      </c>
      <c r="D12" s="102">
        <f>SUMIF('📋 ORDERS'!$R$4:$R$675,A12,'📋 ORDERS'!$L$4:$L$675)</f>
        <v>31</v>
      </c>
      <c r="E12" s="102">
        <f>SUMIF('📋 ORDERS'!$R$4:$R$675,A12,'📋 ORDERS'!$M$4:$M$675)</f>
        <v>31</v>
      </c>
      <c r="F12" s="102">
        <f>SUMIF('📋 ORDERS'!$R$4:$R$675,A12,'📋 ORDERS'!$V$4:$V$675)</f>
        <v>0</v>
      </c>
      <c r="G12" s="156">
        <f>IF(SUMIF('📋 ORDERS'!$R$4:$R$675,A12,'📋 ORDERS'!$L$4:$L$675)=0,0,SUMIF('📋 ORDERS'!$R$4:$R$675,A12,'📋 ORDERS'!$M$4:$M$675)/SUMIF('📋 ORDERS'!$R$4:$R$675,A12,'📋 ORDERS'!$L$4:$L$675))</f>
        <v>1</v>
      </c>
      <c r="H12" s="103">
        <f>SUMIF('📋 ORDERS'!$R$4:$R$675,A12,'📋 ORDERS'!$P$4:$P$675)</f>
        <v>8128.6600000000008</v>
      </c>
      <c r="I12" s="104">
        <f>COUNTIFS('📋 ORDERS'!$R$4:$R$675,A12,'📋 ORDERS'!$Y$4:$Y$675,"✔")</f>
        <v>0</v>
      </c>
      <c r="J12" s="157">
        <f>SUMPRODUCT(('📋 ORDERS'!$R$4:$R$675=A12)*('📋 ORDERS'!$W$4:$W$675&lt;&gt;"")*('📋 ORDERS'!$W$4:$W$675&lt;&gt;0)*1)</f>
        <v>10</v>
      </c>
    </row>
    <row r="13" spans="1:10" ht="21.75" customHeight="1" x14ac:dyDescent="0.35">
      <c r="A13" s="194" t="s">
        <v>409</v>
      </c>
      <c r="B13" s="152" t="s">
        <v>493</v>
      </c>
      <c r="C13" s="81">
        <f>COUNTIF('📋 ORDERS'!$R$4:$R$675,A13)</f>
        <v>8</v>
      </c>
      <c r="D13" s="81">
        <f>SUMIF('📋 ORDERS'!$R$4:$R$675,A13,'📋 ORDERS'!$L$4:$L$675)</f>
        <v>126</v>
      </c>
      <c r="E13" s="81">
        <f>SUMIF('📋 ORDERS'!$R$4:$R$675,A13,'📋 ORDERS'!$M$4:$M$675)</f>
        <v>0</v>
      </c>
      <c r="F13" s="81">
        <f>SUMIF('📋 ORDERS'!$R$4:$R$675,A13,'📋 ORDERS'!$V$4:$V$675)</f>
        <v>126</v>
      </c>
      <c r="G13" s="81">
        <f>IF(SUMIF('📋 ORDERS'!$R$4:$R$675,A13,'📋 ORDERS'!$L$4:$L$675)=0,0,SUMIF('📋 ORDERS'!$R$4:$R$675,A13,'📋 ORDERS'!$M$4:$M$675)/SUMIF('📋 ORDERS'!$R$4:$R$675,A13,'📋 ORDERS'!$L$4:$L$675))</f>
        <v>0</v>
      </c>
      <c r="H13" s="112">
        <f>SUMIF('📋 ORDERS'!$R$4:$R$675,A13,'📋 ORDERS'!$P$4:$P$675)</f>
        <v>25935.08</v>
      </c>
      <c r="I13" s="113">
        <f>COUNTIFS('📋 ORDERS'!$R$4:$R$675,A13,'📋 ORDERS'!$Y$4:$Y$675,"✔")</f>
        <v>0</v>
      </c>
      <c r="J13" s="158">
        <f>SUMPRODUCT(('📋 ORDERS'!$R$4:$R$675=A13)*('📋 ORDERS'!$X$4:$X$675&lt;&gt;"")*('📋 ORDERS'!$X$4:$X$675&lt;&gt;0)*1)</f>
        <v>0</v>
      </c>
    </row>
    <row r="14" spans="1:10" ht="14.25" customHeight="1" x14ac:dyDescent="0.35">
      <c r="A14" s="271" t="s">
        <v>410</v>
      </c>
      <c r="B14" s="272"/>
      <c r="C14" s="159">
        <f>SUM(C5:C13)</f>
        <v>172</v>
      </c>
      <c r="D14" s="159">
        <f>SUM(D5:D13)</f>
        <v>1443</v>
      </c>
      <c r="E14" s="159">
        <f>SUM(E5:E13)</f>
        <v>1178</v>
      </c>
      <c r="F14" s="159">
        <f>SUM(F5:F13)</f>
        <v>265</v>
      </c>
      <c r="G14" s="160">
        <f>IF(SUM(D5:D13)=0,0,SUM(E5:E13)/SUM(D5:D13))</f>
        <v>0.81635481635481633</v>
      </c>
      <c r="H14" s="161">
        <f>SUM(H5:H13)</f>
        <v>582941.25</v>
      </c>
      <c r="I14" s="159">
        <f>SUM(I5:I13)</f>
        <v>50</v>
      </c>
      <c r="J14" s="159">
        <f>SUM(J5:J13)</f>
        <v>164</v>
      </c>
    </row>
  </sheetData>
  <mergeCells count="3">
    <mergeCell ref="A1:J1"/>
    <mergeCell ref="A2:J2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6"/>
  <sheetViews>
    <sheetView showGridLines="0" zoomScaleNormal="100" workbookViewId="0">
      <pane ySplit="3" topLeftCell="A4" activePane="bottomLeft" state="frozen"/>
      <selection pane="bottomLeft" activeCell="F11" sqref="F11"/>
    </sheetView>
  </sheetViews>
  <sheetFormatPr defaultColWidth="8.6328125" defaultRowHeight="14.5" x14ac:dyDescent="0.35"/>
  <cols>
    <col min="1" max="1" width="12" customWidth="1"/>
    <col min="2" max="3" width="14" customWidth="1"/>
    <col min="4" max="4" width="10" customWidth="1"/>
    <col min="5" max="7" width="12" customWidth="1"/>
    <col min="8" max="8" width="10" customWidth="1"/>
    <col min="9" max="9" width="18" customWidth="1"/>
  </cols>
  <sheetData>
    <row r="1" spans="1:9" ht="34.5" customHeight="1" x14ac:dyDescent="0.35">
      <c r="A1" s="197" t="s">
        <v>473</v>
      </c>
      <c r="B1" s="197"/>
      <c r="C1" s="197"/>
      <c r="D1" s="197"/>
      <c r="E1" s="197"/>
      <c r="F1" s="197"/>
      <c r="G1" s="197"/>
      <c r="H1" s="197"/>
      <c r="I1" s="197"/>
    </row>
    <row r="2" spans="1:9" ht="18" hidden="1" customHeight="1" x14ac:dyDescent="0.35">
      <c r="A2" s="198" t="s">
        <v>474</v>
      </c>
      <c r="B2" s="198"/>
      <c r="C2" s="198"/>
      <c r="D2" s="198"/>
      <c r="E2" s="198"/>
      <c r="F2" s="198"/>
      <c r="G2" s="198"/>
      <c r="H2" s="198"/>
      <c r="I2" s="198"/>
    </row>
    <row r="3" spans="1:9" ht="9.75" customHeight="1" x14ac:dyDescent="0.35"/>
    <row r="4" spans="1:9" ht="27.75" customHeight="1" x14ac:dyDescent="0.35">
      <c r="A4" s="94" t="s">
        <v>25</v>
      </c>
      <c r="B4" s="94" t="s">
        <v>475</v>
      </c>
      <c r="C4" s="94" t="s">
        <v>476</v>
      </c>
      <c r="D4" s="94" t="s">
        <v>477</v>
      </c>
      <c r="E4" s="94" t="s">
        <v>368</v>
      </c>
      <c r="F4" s="94" t="s">
        <v>380</v>
      </c>
      <c r="G4" s="94" t="s">
        <v>398</v>
      </c>
      <c r="H4" s="94" t="s">
        <v>413</v>
      </c>
      <c r="I4" s="94" t="s">
        <v>399</v>
      </c>
    </row>
    <row r="5" spans="1:9" ht="18" customHeight="1" x14ac:dyDescent="0.35">
      <c r="A5" s="162" t="str">
        <f t="shared" ref="A5:A15" si="0">IF(B5="","",TEXT(MONTH(B5),"00")&amp;"/"&amp;YEAR(B5))</f>
        <v>12/2025</v>
      </c>
      <c r="B5" s="163">
        <v>45992</v>
      </c>
      <c r="C5" s="163">
        <v>46022</v>
      </c>
      <c r="D5" s="18">
        <f>COUNTIFS('📋 ORDERS'!$I$4:$I$675,"&gt;="&amp;B5,'📋 ORDERS'!$I$4:$I$675,"&lt;="&amp;C5)</f>
        <v>2</v>
      </c>
      <c r="E5" s="18">
        <f>SUMIFS('📋 ORDERS'!$L$4:$L$675,'📋 ORDERS'!$I$4:$I$675,"&gt;="&amp;B5,'📋 ORDERS'!$I$4:$I$675,"&lt;="&amp;C5)</f>
        <v>4</v>
      </c>
      <c r="F5" s="18">
        <f>SUMIFS('📋 ORDERS'!$M$4:$M$675,'📋 ORDERS'!$I$4:$I$675,"&gt;="&amp;B5,'📋 ORDERS'!$I$4:$I$675,"&lt;="&amp;C5)</f>
        <v>4</v>
      </c>
      <c r="G5" s="18">
        <f>SUMIFS('📋 ORDERS'!$V$4:$V$675,'📋 ORDERS'!$I$4:$I$675,"&gt;="&amp;B5,'📋 ORDERS'!$I$4:$I$675,"&lt;="&amp;C5)</f>
        <v>0</v>
      </c>
      <c r="H5" s="164">
        <f t="shared" ref="H5:H15" si="1">IF(E5=0,0,F5/E5)</f>
        <v>1</v>
      </c>
      <c r="I5" s="165">
        <f>SUMIFS('📋 ORDERS'!$P$4:$P$675,'📋 ORDERS'!$I$4:$I$675,"&gt;="&amp;B5,'📋 ORDERS'!$I$4:$I$675,"&lt;="&amp;C5)</f>
        <v>8374.130000000001</v>
      </c>
    </row>
    <row r="6" spans="1:9" ht="18" customHeight="1" x14ac:dyDescent="0.35">
      <c r="A6" s="166" t="str">
        <f t="shared" si="0"/>
        <v>02/2026</v>
      </c>
      <c r="B6" s="24">
        <v>46054</v>
      </c>
      <c r="C6" s="24">
        <v>46081</v>
      </c>
      <c r="D6" s="84">
        <f>COUNTIFS('📋 ORDERS'!$I$4:$I$675,"&gt;="&amp;B6,'📋 ORDERS'!$I$4:$I$675,"&lt;="&amp;C6)</f>
        <v>30</v>
      </c>
      <c r="E6" s="84">
        <f>SUMIFS('📋 ORDERS'!$L$4:$L$675,'📋 ORDERS'!$I$4:$I$675,"&gt;="&amp;B6,'📋 ORDERS'!$I$4:$I$675,"&lt;="&amp;C6)</f>
        <v>117</v>
      </c>
      <c r="F6" s="84">
        <f>SUMIFS('📋 ORDERS'!$M$4:$M$675,'📋 ORDERS'!$I$4:$I$675,"&gt;="&amp;B6,'📋 ORDERS'!$I$4:$I$675,"&lt;="&amp;C6)</f>
        <v>116</v>
      </c>
      <c r="G6" s="84">
        <f>SUMIFS('📋 ORDERS'!$V$4:$V$675,'📋 ORDERS'!$I$4:$I$675,"&gt;="&amp;B6,'📋 ORDERS'!$I$4:$I$675,"&lt;="&amp;C6)</f>
        <v>1</v>
      </c>
      <c r="H6" s="167">
        <f t="shared" si="1"/>
        <v>0.99145299145299148</v>
      </c>
      <c r="I6" s="168">
        <f>SUMIFS('📋 ORDERS'!$P$4:$P$675,'📋 ORDERS'!$I$4:$I$675,"&gt;="&amp;B6,'📋 ORDERS'!$I$4:$I$675,"&lt;="&amp;C6)</f>
        <v>29106.23</v>
      </c>
    </row>
    <row r="7" spans="1:9" ht="18" customHeight="1" x14ac:dyDescent="0.35">
      <c r="A7" s="162" t="str">
        <f t="shared" si="0"/>
        <v>03/2026</v>
      </c>
      <c r="B7" s="163">
        <v>46082</v>
      </c>
      <c r="C7" s="163">
        <v>46112</v>
      </c>
      <c r="D7" s="18">
        <f>COUNTIFS('📋 ORDERS'!$I$4:$I$675,"&gt;="&amp;B7,'📋 ORDERS'!$I$4:$I$675,"&lt;="&amp;C7)</f>
        <v>21</v>
      </c>
      <c r="E7" s="18">
        <f>SUMIFS('📋 ORDERS'!$L$4:$L$675,'📋 ORDERS'!$I$4:$I$675,"&gt;="&amp;B7,'📋 ORDERS'!$I$4:$I$675,"&lt;="&amp;C7)</f>
        <v>205</v>
      </c>
      <c r="F7" s="18">
        <f>SUMIFS('📋 ORDERS'!$M$4:$M$675,'📋 ORDERS'!$I$4:$I$675,"&gt;="&amp;B7,'📋 ORDERS'!$I$4:$I$675,"&lt;="&amp;C7)</f>
        <v>205</v>
      </c>
      <c r="G7" s="18">
        <f>SUMIFS('📋 ORDERS'!$V$4:$V$675,'📋 ORDERS'!$I$4:$I$675,"&gt;="&amp;B7,'📋 ORDERS'!$I$4:$I$675,"&lt;="&amp;C7)</f>
        <v>0</v>
      </c>
      <c r="H7" s="164">
        <f t="shared" si="1"/>
        <v>1</v>
      </c>
      <c r="I7" s="165">
        <f>SUMIFS('📋 ORDERS'!$P$4:$P$675,'📋 ORDERS'!$I$4:$I$675,"&gt;="&amp;B7,'📋 ORDERS'!$I$4:$I$675,"&lt;="&amp;C7)</f>
        <v>11058.869999999999</v>
      </c>
    </row>
    <row r="8" spans="1:9" ht="18" customHeight="1" x14ac:dyDescent="0.35">
      <c r="A8" s="166" t="str">
        <f t="shared" si="0"/>
        <v>04/2026</v>
      </c>
      <c r="B8" s="24">
        <v>46113</v>
      </c>
      <c r="C8" s="24">
        <v>46142</v>
      </c>
      <c r="D8" s="84">
        <f>COUNTIFS('📋 ORDERS'!$I$4:$I$675,"&gt;="&amp;B8,'📋 ORDERS'!$I$4:$I$675,"&lt;="&amp;C8)</f>
        <v>28</v>
      </c>
      <c r="E8" s="84">
        <f>SUMIFS('📋 ORDERS'!$L$4:$L$675,'📋 ORDERS'!$I$4:$I$675,"&gt;="&amp;B8,'📋 ORDERS'!$I$4:$I$675,"&lt;="&amp;C8)</f>
        <v>279</v>
      </c>
      <c r="F8" s="84">
        <f>SUMIFS('📋 ORDERS'!$M$4:$M$675,'📋 ORDERS'!$I$4:$I$675,"&gt;="&amp;B8,'📋 ORDERS'!$I$4:$I$675,"&lt;="&amp;C8)</f>
        <v>265</v>
      </c>
      <c r="G8" s="84">
        <f>SUMIFS('📋 ORDERS'!$V$4:$V$675,'📋 ORDERS'!$I$4:$I$675,"&gt;="&amp;B8,'📋 ORDERS'!$I$4:$I$675,"&lt;="&amp;C8)</f>
        <v>14</v>
      </c>
      <c r="H8" s="167">
        <f t="shared" si="1"/>
        <v>0.94982078853046592</v>
      </c>
      <c r="I8" s="168">
        <f>SUMIFS('📋 ORDERS'!$P$4:$P$675,'📋 ORDERS'!$I$4:$I$675,"&gt;="&amp;B8,'📋 ORDERS'!$I$4:$I$675,"&lt;="&amp;C8)</f>
        <v>167876.99</v>
      </c>
    </row>
    <row r="9" spans="1:9" ht="18" customHeight="1" x14ac:dyDescent="0.35">
      <c r="A9" s="162" t="str">
        <f t="shared" si="0"/>
        <v>05/2026</v>
      </c>
      <c r="B9" s="163">
        <v>46143</v>
      </c>
      <c r="C9" s="163">
        <v>46173</v>
      </c>
      <c r="D9" s="18">
        <f>COUNTIFS('📋 ORDERS'!$I$4:$I$675,"&gt;="&amp;B9,'📋 ORDERS'!$I$4:$I$675,"&lt;="&amp;C9)</f>
        <v>64</v>
      </c>
      <c r="E9" s="18">
        <f>SUMIFS('📋 ORDERS'!$L$4:$L$675,'📋 ORDERS'!$I$4:$I$675,"&gt;="&amp;B9,'📋 ORDERS'!$I$4:$I$675,"&lt;="&amp;C9)</f>
        <v>637</v>
      </c>
      <c r="F9" s="18">
        <f>SUMIFS('📋 ORDERS'!$M$4:$M$675,'📋 ORDERS'!$I$4:$I$675,"&gt;="&amp;B9,'📋 ORDERS'!$I$4:$I$675,"&lt;="&amp;C9)</f>
        <v>541</v>
      </c>
      <c r="G9" s="18">
        <f>SUMIFS('📋 ORDERS'!$V$4:$V$675,'📋 ORDERS'!$I$4:$I$675,"&gt;="&amp;B9,'📋 ORDERS'!$I$4:$I$675,"&lt;="&amp;C9)</f>
        <v>96</v>
      </c>
      <c r="H9" s="164">
        <f t="shared" si="1"/>
        <v>0.84929356357927788</v>
      </c>
      <c r="I9" s="165">
        <f>SUMIFS('📋 ORDERS'!$P$4:$P$675,'📋 ORDERS'!$I$4:$I$675,"&gt;="&amp;B9,'📋 ORDERS'!$I$4:$I$675,"&lt;="&amp;C9)</f>
        <v>302685.90999999992</v>
      </c>
    </row>
    <row r="10" spans="1:9" ht="18" customHeight="1" x14ac:dyDescent="0.35">
      <c r="A10" s="166" t="str">
        <f t="shared" si="0"/>
        <v>06/2026</v>
      </c>
      <c r="B10" s="24">
        <v>46174</v>
      </c>
      <c r="C10" s="24">
        <v>46203</v>
      </c>
      <c r="D10" s="84">
        <f>COUNTIFS('📋 ORDERS'!$I$4:$I$675,"&gt;="&amp;B10,'📋 ORDERS'!$I$4:$I$675,"&lt;="&amp;C10)</f>
        <v>19</v>
      </c>
      <c r="E10" s="84">
        <f>SUMIFS('📋 ORDERS'!$L$4:$L$675,'📋 ORDERS'!$I$4:$I$675,"&gt;="&amp;B10,'📋 ORDERS'!$I$4:$I$675,"&lt;="&amp;C10)</f>
        <v>75</v>
      </c>
      <c r="F10" s="84">
        <f>SUMIFS('📋 ORDERS'!$M$4:$M$675,'📋 ORDERS'!$I$4:$I$675,"&gt;="&amp;B10,'📋 ORDERS'!$I$4:$I$675,"&lt;="&amp;C10)</f>
        <v>47</v>
      </c>
      <c r="G10" s="84">
        <f>SUMIFS('📋 ORDERS'!$V$4:$V$675,'📋 ORDERS'!$I$4:$I$675,"&gt;="&amp;B10,'📋 ORDERS'!$I$4:$I$675,"&lt;="&amp;C10)</f>
        <v>28</v>
      </c>
      <c r="H10" s="167">
        <f t="shared" si="1"/>
        <v>0.62666666666666671</v>
      </c>
      <c r="I10" s="168">
        <f>SUMIFS('📋 ORDERS'!$P$4:$P$675,'📋 ORDERS'!$I$4:$I$675,"&gt;="&amp;B10,'📋 ORDERS'!$I$4:$I$675,"&lt;="&amp;C10)</f>
        <v>37904.039999999994</v>
      </c>
    </row>
    <row r="11" spans="1:9" ht="18" customHeight="1" x14ac:dyDescent="0.35">
      <c r="A11" s="162" t="str">
        <f t="shared" si="0"/>
        <v>08/2026</v>
      </c>
      <c r="B11" s="163">
        <v>46235</v>
      </c>
      <c r="C11" s="163">
        <v>46265</v>
      </c>
      <c r="D11" s="18">
        <f>COUNTIFS('📋 ORDERS'!$I$4:$I$675,"&gt;="&amp;B11,'📋 ORDERS'!$I$4:$I$675,"&lt;="&amp;C11)</f>
        <v>0</v>
      </c>
      <c r="E11" s="18">
        <f>SUMIFS('📋 ORDERS'!$L$4:$L$675,'📋 ORDERS'!$I$4:$I$675,"&gt;="&amp;B11,'📋 ORDERS'!$I$4:$I$675,"&lt;="&amp;C11)</f>
        <v>0</v>
      </c>
      <c r="F11" s="18">
        <f>SUMIFS('📋 ORDERS'!$M$4:$M$675,'📋 ORDERS'!$I$4:$I$675,"&gt;="&amp;B11,'📋 ORDERS'!$I$4:$I$675,"&lt;="&amp;C11)</f>
        <v>0</v>
      </c>
      <c r="G11" s="18">
        <f>SUMIFS('📋 ORDERS'!$V$4:$V$675,'📋 ORDERS'!$I$4:$I$675,"&gt;="&amp;B11,'📋 ORDERS'!$I$4:$I$675,"&lt;="&amp;C11)</f>
        <v>0</v>
      </c>
      <c r="H11" s="164">
        <f t="shared" si="1"/>
        <v>0</v>
      </c>
      <c r="I11" s="165">
        <f>SUMIFS('📋 ORDERS'!$P$4:$P$675,'📋 ORDERS'!$I$4:$I$675,"&gt;="&amp;B11,'📋 ORDERS'!$I$4:$I$675,"&lt;="&amp;C11)</f>
        <v>0</v>
      </c>
    </row>
    <row r="12" spans="1:9" ht="18" customHeight="1" x14ac:dyDescent="0.35">
      <c r="A12" s="166" t="str">
        <f t="shared" si="0"/>
        <v>11/2026</v>
      </c>
      <c r="B12" s="24">
        <v>46327</v>
      </c>
      <c r="C12" s="24">
        <v>46356</v>
      </c>
      <c r="D12" s="84">
        <f>COUNTIFS('📋 ORDERS'!$I$4:$I$675,"&gt;="&amp;B12,'📋 ORDERS'!$I$4:$I$675,"&lt;="&amp;C12)</f>
        <v>0</v>
      </c>
      <c r="E12" s="84">
        <f>SUMIFS('📋 ORDERS'!$L$4:$L$675,'📋 ORDERS'!$I$4:$I$675,"&gt;="&amp;B12,'📋 ORDERS'!$I$4:$I$675,"&lt;="&amp;C12)</f>
        <v>0</v>
      </c>
      <c r="F12" s="84">
        <f>SUMIFS('📋 ORDERS'!$M$4:$M$675,'📋 ORDERS'!$I$4:$I$675,"&gt;="&amp;B12,'📋 ORDERS'!$I$4:$I$675,"&lt;="&amp;C12)</f>
        <v>0</v>
      </c>
      <c r="G12" s="84">
        <f>SUMIFS('📋 ORDERS'!$V$4:$V$675,'📋 ORDERS'!$I$4:$I$675,"&gt;="&amp;B12,'📋 ORDERS'!$I$4:$I$675,"&lt;="&amp;C12)</f>
        <v>0</v>
      </c>
      <c r="H12" s="167">
        <f t="shared" si="1"/>
        <v>0</v>
      </c>
      <c r="I12" s="168">
        <f>SUMIFS('📋 ORDERS'!$P$4:$P$675,'📋 ORDERS'!$I$4:$I$675,"&gt;="&amp;B12,'📋 ORDERS'!$I$4:$I$675,"&lt;="&amp;C12)</f>
        <v>0</v>
      </c>
    </row>
    <row r="13" spans="1:9" ht="18" customHeight="1" x14ac:dyDescent="0.35">
      <c r="A13" s="162" t="str">
        <f t="shared" si="0"/>
        <v>03/2027</v>
      </c>
      <c r="B13" s="163">
        <v>46447</v>
      </c>
      <c r="C13" s="163">
        <v>46477</v>
      </c>
      <c r="D13" s="18">
        <f>COUNTIFS('📋 ORDERS'!$I$4:$I$675,"&gt;="&amp;B13,'📋 ORDERS'!$I$4:$I$675,"&lt;="&amp;C13)</f>
        <v>0</v>
      </c>
      <c r="E13" s="18">
        <f>SUMIFS('📋 ORDERS'!$L$4:$L$675,'📋 ORDERS'!$I$4:$I$675,"&gt;="&amp;B13,'📋 ORDERS'!$I$4:$I$675,"&lt;="&amp;C13)</f>
        <v>0</v>
      </c>
      <c r="F13" s="18">
        <f>SUMIFS('📋 ORDERS'!$M$4:$M$675,'📋 ORDERS'!$I$4:$I$675,"&gt;="&amp;B13,'📋 ORDERS'!$I$4:$I$675,"&lt;="&amp;C13)</f>
        <v>0</v>
      </c>
      <c r="G13" s="18">
        <f>SUMIFS('📋 ORDERS'!$V$4:$V$675,'📋 ORDERS'!$I$4:$I$675,"&gt;="&amp;B13,'📋 ORDERS'!$I$4:$I$675,"&lt;="&amp;C13)</f>
        <v>0</v>
      </c>
      <c r="H13" s="164">
        <f t="shared" si="1"/>
        <v>0</v>
      </c>
      <c r="I13" s="165">
        <f>SUMIFS('📋 ORDERS'!$P$4:$P$675,'📋 ORDERS'!$I$4:$I$675,"&gt;="&amp;B13,'📋 ORDERS'!$I$4:$I$675,"&lt;="&amp;C13)</f>
        <v>0</v>
      </c>
    </row>
    <row r="14" spans="1:9" ht="18" customHeight="1" x14ac:dyDescent="0.35">
      <c r="A14" s="166" t="str">
        <f t="shared" si="0"/>
        <v>08/2027</v>
      </c>
      <c r="B14" s="24">
        <v>46600</v>
      </c>
      <c r="C14" s="24">
        <v>46630</v>
      </c>
      <c r="D14" s="84">
        <f>COUNTIFS('📋 ORDERS'!$I$4:$I$675,"&gt;="&amp;B14,'📋 ORDERS'!$I$4:$I$675,"&lt;="&amp;C14)</f>
        <v>0</v>
      </c>
      <c r="E14" s="84">
        <f>SUMIFS('📋 ORDERS'!$L$4:$L$675,'📋 ORDERS'!$I$4:$I$675,"&gt;="&amp;B14,'📋 ORDERS'!$I$4:$I$675,"&lt;="&amp;C14)</f>
        <v>0</v>
      </c>
      <c r="F14" s="84">
        <f>SUMIFS('📋 ORDERS'!$M$4:$M$675,'📋 ORDERS'!$I$4:$I$675,"&gt;="&amp;B14,'📋 ORDERS'!$I$4:$I$675,"&lt;="&amp;C14)</f>
        <v>0</v>
      </c>
      <c r="G14" s="84">
        <f>SUMIFS('📋 ORDERS'!$V$4:$V$675,'📋 ORDERS'!$I$4:$I$675,"&gt;="&amp;B14,'📋 ORDERS'!$I$4:$I$675,"&lt;="&amp;C14)</f>
        <v>0</v>
      </c>
      <c r="H14" s="167">
        <f t="shared" si="1"/>
        <v>0</v>
      </c>
      <c r="I14" s="168">
        <f>SUMIFS('📋 ORDERS'!$P$4:$P$675,'📋 ORDERS'!$I$4:$I$675,"&gt;="&amp;B14,'📋 ORDERS'!$I$4:$I$675,"&lt;="&amp;C14)</f>
        <v>0</v>
      </c>
    </row>
    <row r="15" spans="1:9" ht="18" customHeight="1" x14ac:dyDescent="0.35">
      <c r="A15" s="162" t="str">
        <f t="shared" si="0"/>
        <v>02/2028</v>
      </c>
      <c r="B15" s="163">
        <v>46784</v>
      </c>
      <c r="C15" s="163">
        <v>46812</v>
      </c>
      <c r="D15" s="18">
        <f>COUNTIFS('📋 ORDERS'!$I$4:$I$675,"&gt;="&amp;B15,'📋 ORDERS'!$I$4:$I$675,"&lt;="&amp;C15)</f>
        <v>0</v>
      </c>
      <c r="E15" s="18">
        <f>SUMIFS('📋 ORDERS'!$L$4:$L$675,'📋 ORDERS'!$I$4:$I$675,"&gt;="&amp;B15,'📋 ORDERS'!$I$4:$I$675,"&lt;="&amp;C15)</f>
        <v>0</v>
      </c>
      <c r="F15" s="18">
        <f>SUMIFS('📋 ORDERS'!$M$4:$M$675,'📋 ORDERS'!$I$4:$I$675,"&gt;="&amp;B15,'📋 ORDERS'!$I$4:$I$675,"&lt;="&amp;C15)</f>
        <v>0</v>
      </c>
      <c r="G15" s="18">
        <f>SUMIFS('📋 ORDERS'!$V$4:$V$675,'📋 ORDERS'!$I$4:$I$675,"&gt;="&amp;B15,'📋 ORDERS'!$I$4:$I$675,"&lt;="&amp;C15)</f>
        <v>0</v>
      </c>
      <c r="H15" s="164">
        <f t="shared" si="1"/>
        <v>0</v>
      </c>
      <c r="I15" s="165">
        <f>SUMIFS('📋 ORDERS'!$P$4:$P$675,'📋 ORDERS'!$I$4:$I$675,"&gt;="&amp;B15,'📋 ORDERS'!$I$4:$I$675,"&lt;="&amp;C15)</f>
        <v>0</v>
      </c>
    </row>
    <row r="16" spans="1:9" ht="21.75" customHeight="1" x14ac:dyDescent="0.35">
      <c r="A16" s="273" t="s">
        <v>410</v>
      </c>
      <c r="B16" s="273"/>
      <c r="C16" s="273"/>
      <c r="D16" s="159">
        <f>SUM(D5:D15)</f>
        <v>164</v>
      </c>
      <c r="E16" s="159">
        <f>SUM(E5:E15)</f>
        <v>1317</v>
      </c>
      <c r="F16" s="159">
        <f>SUM(F5:F15)</f>
        <v>1178</v>
      </c>
      <c r="G16" s="159">
        <f>SUM(G5:G15)</f>
        <v>139</v>
      </c>
      <c r="H16" s="160">
        <f>IF(SUM(E5:E15)=0,0,SUM(F5:F15)/SUM(E5:E15))</f>
        <v>0.89445709946848895</v>
      </c>
      <c r="I16" s="161">
        <f>SUM(I5:I15)</f>
        <v>557006.16999999993</v>
      </c>
    </row>
  </sheetData>
  <mergeCells count="3">
    <mergeCell ref="A1:I1"/>
    <mergeCell ref="A2:I2"/>
    <mergeCell ref="A16:C1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8"/>
  <sheetViews>
    <sheetView zoomScaleNormal="100" workbookViewId="0">
      <pane ySplit="3" topLeftCell="A4" activePane="bottomLeft" state="frozen"/>
      <selection pane="bottomLeft" activeCell="F4" sqref="F4"/>
    </sheetView>
  </sheetViews>
  <sheetFormatPr defaultColWidth="8.6328125" defaultRowHeight="14.5" x14ac:dyDescent="0.35"/>
  <cols>
    <col min="1" max="1" width="14" customWidth="1"/>
    <col min="2" max="2" width="10" customWidth="1"/>
    <col min="3" max="3" width="14" customWidth="1"/>
    <col min="4" max="4" width="18" customWidth="1"/>
    <col min="5" max="5" width="16" customWidth="1"/>
    <col min="6" max="6" width="13" customWidth="1"/>
    <col min="7" max="7" width="11" customWidth="1"/>
    <col min="8" max="8" width="16" customWidth="1"/>
    <col min="9" max="9" width="14" customWidth="1"/>
    <col min="10" max="10" width="18" customWidth="1"/>
  </cols>
  <sheetData>
    <row r="1" spans="1:10" ht="31.5" customHeight="1" x14ac:dyDescent="0.35">
      <c r="A1" s="274" t="s">
        <v>478</v>
      </c>
      <c r="B1" s="274"/>
      <c r="C1" s="274"/>
      <c r="D1" s="274"/>
      <c r="E1" s="274"/>
      <c r="F1" s="274"/>
      <c r="G1" s="274"/>
      <c r="H1" s="274"/>
      <c r="I1" s="274"/>
      <c r="J1" s="274"/>
    </row>
    <row r="2" spans="1:10" ht="19.5" customHeight="1" x14ac:dyDescent="0.35">
      <c r="A2" s="275" t="s">
        <v>479</v>
      </c>
      <c r="B2" s="275"/>
      <c r="C2" s="275"/>
      <c r="D2" s="275"/>
      <c r="E2" s="275"/>
      <c r="F2" s="275"/>
      <c r="G2" s="275"/>
      <c r="H2" s="275"/>
      <c r="I2" s="275"/>
      <c r="J2" s="275"/>
    </row>
    <row r="3" spans="1:10" ht="39.75" customHeight="1" x14ac:dyDescent="0.35">
      <c r="A3" s="169" t="s">
        <v>480</v>
      </c>
      <c r="B3" s="169" t="s">
        <v>481</v>
      </c>
      <c r="C3" s="169" t="s">
        <v>361</v>
      </c>
      <c r="D3" s="169" t="s">
        <v>482</v>
      </c>
      <c r="E3" s="169" t="s">
        <v>483</v>
      </c>
      <c r="F3" s="169" t="s">
        <v>23</v>
      </c>
      <c r="G3" s="169" t="s">
        <v>24</v>
      </c>
      <c r="H3" s="169" t="s">
        <v>29</v>
      </c>
      <c r="I3" s="169" t="s">
        <v>484</v>
      </c>
      <c r="J3" s="169" t="s">
        <v>31</v>
      </c>
    </row>
    <row r="4" spans="1:10" ht="19.5" customHeight="1" x14ac:dyDescent="0.35">
      <c r="A4" s="170" t="s">
        <v>151</v>
      </c>
      <c r="B4" s="171">
        <f>SUMPRODUCT((IFERROR(VALUE('📋 ORDERS'!$Q$4:$Q$675),0)=VALUE(A4))*1)</f>
        <v>1</v>
      </c>
      <c r="C4" s="172" t="str">
        <f>IFERROR(INDEX('📋 ORDERS'!$D$4:$D$675,MATCH(VALUE(A4),IFERROR(VALUE('📋 ORDERS'!$Q$4:$Q$675),0),0)),"")</f>
        <v/>
      </c>
      <c r="D4" s="172" t="str">
        <f>IF(IFERROR(INDEX('📋 ORDERS'!$E$4:$E$675,MATCH(VALUE(A4),IFERROR(VALUE('📋 ORDERS'!$Q$4:$Q$675),0),0)),0)=0,"",IFERROR(INDEX('📋 ORDERS'!$E$4:$E$675,MATCH(VALUE(A4),IFERROR(VALUE('📋 ORDERS'!$Q$4:$Q$675),0),0)),0))</f>
        <v/>
      </c>
      <c r="E4" s="173">
        <f>SUMPRODUCT((IFERROR(VALUE('📋 ORDERS'!$Q$4:$Q$675),0)=VALUE(A4))*IFERROR('📋 ORDERS'!$P$4:$P$675,0))</f>
        <v>455.12</v>
      </c>
      <c r="F4" s="172" t="str">
        <f>IFERROR(INDEX('📋 ORDERS'!$R$4:$R$675,MATCH(VALUE(A4),IFERROR(VALUE('📋 ORDERS'!$Q$4:$Q$675),0),0)),"")</f>
        <v/>
      </c>
      <c r="G4" s="172" t="str">
        <f>IFERROR(INDEX('📋 ORDERS'!$S$4:$S$675,MATCH(VALUE(A4),IFERROR(VALUE('📋 ORDERS'!$Q$4:$Q$675),0),0)),"")</f>
        <v/>
      </c>
      <c r="H4" s="174" t="str">
        <f>IFERROR(INDEX('📋 ORDERS'!$W$4:$W$675,MATCH(VALUE(A4),IFERROR(VALUE('📋 ORDERS'!$Q$4:$Q$675),0),0)),"")</f>
        <v/>
      </c>
      <c r="I4" s="172" t="str">
        <f>IFERROR(INDEX('📋 ORDERS'!$Y$4:$Y$675,MATCH(VALUE(A4),IFERROR(VALUE('📋 ORDERS'!$Q$4:$Q$675),0),0)),"")</f>
        <v/>
      </c>
      <c r="J4" s="174" t="str">
        <f>IFERROR(INDEX('📋 ORDERS'!$Y$4:$Y$675,MATCH(VALUE(A4),IFERROR(VALUE('📋 ORDERS'!$Q$4:$Q$675),0),0)),"")</f>
        <v/>
      </c>
    </row>
    <row r="5" spans="1:10" ht="19.5" customHeight="1" x14ac:dyDescent="0.35">
      <c r="A5" s="175" t="s">
        <v>45</v>
      </c>
      <c r="B5" s="176">
        <f>SUMPRODUCT((IFERROR(VALUE('📋 ORDERS'!$Q$4:$Q$675),0)=VALUE(A5))*1)</f>
        <v>1</v>
      </c>
      <c r="C5" s="177" t="str">
        <f>IFERROR(INDEX('📋 ORDERS'!$D$4:$D$675,MATCH(VALUE(A5),IFERROR(VALUE('📋 ORDERS'!$Q$4:$Q$675),0),0)),"")</f>
        <v/>
      </c>
      <c r="D5" s="177" t="str">
        <f>IF(IFERROR(INDEX('📋 ORDERS'!$E$4:$E$675,MATCH(VALUE(A5),IFERROR(VALUE('📋 ORDERS'!$Q$4:$Q$675),0),0)),0)=0,"",IFERROR(INDEX('📋 ORDERS'!$E$4:$E$675,MATCH(VALUE(A5),IFERROR(VALUE('📋 ORDERS'!$Q$4:$Q$675),0),0)),0))</f>
        <v/>
      </c>
      <c r="E5" s="178">
        <f>SUMPRODUCT((IFERROR(VALUE('📋 ORDERS'!$Q$4:$Q$675),0)=VALUE(A5))*IFERROR('📋 ORDERS'!$P$4:$P$675,0))</f>
        <v>533.32000000000005</v>
      </c>
      <c r="F5" s="177" t="str">
        <f>IFERROR(INDEX('📋 ORDERS'!$R$4:$R$675,MATCH(VALUE(A5),IFERROR(VALUE('📋 ORDERS'!$Q$4:$Q$675),0),0)),"")</f>
        <v/>
      </c>
      <c r="G5" s="177" t="str">
        <f>IFERROR(INDEX('📋 ORDERS'!$S$4:$S$675,MATCH(VALUE(A5),IFERROR(VALUE('📋 ORDERS'!$Q$4:$Q$675),0),0)),"")</f>
        <v/>
      </c>
      <c r="H5" s="179" t="str">
        <f>IFERROR(INDEX('📋 ORDERS'!$W$4:$W$675,MATCH(VALUE(A5),IFERROR(VALUE('📋 ORDERS'!$Q$4:$Q$675),0),0)),"")</f>
        <v/>
      </c>
      <c r="I5" s="177" t="str">
        <f>IFERROR(INDEX('📋 ORDERS'!$Y$4:$Y$675,MATCH(VALUE(A5),IFERROR(VALUE('📋 ORDERS'!$Q$4:$Q$675),0),0)),"")</f>
        <v/>
      </c>
      <c r="J5" s="179" t="str">
        <f>IFERROR(INDEX('📋 ORDERS'!$Y$4:$Y$675,MATCH(VALUE(A5),IFERROR(VALUE('📋 ORDERS'!$Q$4:$Q$675),0),0)),"")</f>
        <v/>
      </c>
    </row>
    <row r="6" spans="1:10" ht="19.5" customHeight="1" x14ac:dyDescent="0.35">
      <c r="A6" s="170" t="s">
        <v>49</v>
      </c>
      <c r="B6" s="171">
        <f>SUMPRODUCT((IFERROR(VALUE('📋 ORDERS'!$Q$4:$Q$675),0)=VALUE(A6))*1)</f>
        <v>1</v>
      </c>
      <c r="C6" s="172" t="str">
        <f>IFERROR(INDEX('📋 ORDERS'!$D$4:$D$675,MATCH(VALUE(A6),IFERROR(VALUE('📋 ORDERS'!$Q$4:$Q$675),0),0)),"")</f>
        <v/>
      </c>
      <c r="D6" s="172" t="str">
        <f>IF(IFERROR(INDEX('📋 ORDERS'!$E$4:$E$675,MATCH(VALUE(A6),IFERROR(VALUE('📋 ORDERS'!$Q$4:$Q$675),0),0)),0)=0,"",IFERROR(INDEX('📋 ORDERS'!$E$4:$E$675,MATCH(VALUE(A6),IFERROR(VALUE('📋 ORDERS'!$Q$4:$Q$675),0),0)),0))</f>
        <v/>
      </c>
      <c r="E6" s="173">
        <f>SUMPRODUCT((IFERROR(VALUE('📋 ORDERS'!$Q$4:$Q$675),0)=VALUE(A6))*IFERROR('📋 ORDERS'!$P$4:$P$675,0))</f>
        <v>4883.5</v>
      </c>
      <c r="F6" s="172" t="str">
        <f>IFERROR(INDEX('📋 ORDERS'!$R$4:$R$675,MATCH(VALUE(A6),IFERROR(VALUE('📋 ORDERS'!$Q$4:$Q$675),0),0)),"")</f>
        <v/>
      </c>
      <c r="G6" s="172" t="str">
        <f>IFERROR(INDEX('📋 ORDERS'!$S$4:$S$675,MATCH(VALUE(A6),IFERROR(VALUE('📋 ORDERS'!$Q$4:$Q$675),0),0)),"")</f>
        <v/>
      </c>
      <c r="H6" s="174" t="str">
        <f>IFERROR(INDEX('📋 ORDERS'!$W$4:$W$675,MATCH(VALUE(A6),IFERROR(VALUE('📋 ORDERS'!$Q$4:$Q$675),0),0)),"")</f>
        <v/>
      </c>
      <c r="I6" s="172" t="str">
        <f>IFERROR(INDEX('📋 ORDERS'!$Y$4:$Y$675,MATCH(VALUE(A6),IFERROR(VALUE('📋 ORDERS'!$Q$4:$Q$675),0),0)),"")</f>
        <v/>
      </c>
      <c r="J6" s="174" t="str">
        <f>IFERROR(INDEX('📋 ORDERS'!$Y$4:$Y$675,MATCH(VALUE(A6),IFERROR(VALUE('📋 ORDERS'!$Q$4:$Q$675),0),0)),"")</f>
        <v/>
      </c>
    </row>
    <row r="7" spans="1:10" ht="19.5" customHeight="1" x14ac:dyDescent="0.35">
      <c r="A7" s="175" t="s">
        <v>485</v>
      </c>
      <c r="B7" s="176">
        <f>SUMPRODUCT((IFERROR(VALUE('📋 ORDERS'!$Q$4:$Q$675),0)=VALUE(A7))*1)</f>
        <v>1</v>
      </c>
      <c r="C7" s="177" t="str">
        <f>IFERROR(INDEX('📋 ORDERS'!$D$4:$D$675,MATCH(VALUE(A7),IFERROR(VALUE('📋 ORDERS'!$Q$4:$Q$675),0),0)),"")</f>
        <v/>
      </c>
      <c r="D7" s="177" t="str">
        <f>IF(IFERROR(INDEX('📋 ORDERS'!$E$4:$E$675,MATCH(VALUE(A7),IFERROR(VALUE('📋 ORDERS'!$Q$4:$Q$675),0),0)),0)=0,"",IFERROR(INDEX('📋 ORDERS'!$E$4:$E$675,MATCH(VALUE(A7),IFERROR(VALUE('📋 ORDERS'!$Q$4:$Q$675),0),0)),0))</f>
        <v/>
      </c>
      <c r="E7" s="178">
        <f>SUMPRODUCT((IFERROR(VALUE('📋 ORDERS'!$Q$4:$Q$675),0)=VALUE(A7))*IFERROR('📋 ORDERS'!$P$4:$P$675,0))</f>
        <v>1831.7</v>
      </c>
      <c r="F7" s="177" t="str">
        <f>IFERROR(INDEX('📋 ORDERS'!$R$4:$R$675,MATCH(VALUE(A7),IFERROR(VALUE('📋 ORDERS'!$Q$4:$Q$675),0),0)),"")</f>
        <v/>
      </c>
      <c r="G7" s="177" t="str">
        <f>IFERROR(INDEX('📋 ORDERS'!$S$4:$S$675,MATCH(VALUE(A7),IFERROR(VALUE('📋 ORDERS'!$Q$4:$Q$675),0),0)),"")</f>
        <v/>
      </c>
      <c r="H7" s="179" t="str">
        <f>IFERROR(INDEX('📋 ORDERS'!$W$4:$W$675,MATCH(VALUE(A7),IFERROR(VALUE('📋 ORDERS'!$Q$4:$Q$675),0),0)),"")</f>
        <v/>
      </c>
      <c r="I7" s="177" t="str">
        <f>IFERROR(INDEX('📋 ORDERS'!$Y$4:$Y$675,MATCH(VALUE(A7),IFERROR(VALUE('📋 ORDERS'!$Q$4:$Q$675),0),0)),"")</f>
        <v/>
      </c>
      <c r="J7" s="179" t="str">
        <f>IFERROR(INDEX('📋 ORDERS'!$Y$4:$Y$675,MATCH(VALUE(A7),IFERROR(VALUE('📋 ORDERS'!$Q$4:$Q$675),0),0)),"")</f>
        <v/>
      </c>
    </row>
    <row r="8" spans="1:10" ht="19.5" customHeight="1" x14ac:dyDescent="0.35">
      <c r="A8" s="170" t="s">
        <v>61</v>
      </c>
      <c r="B8" s="171">
        <f>SUMPRODUCT((IFERROR(VALUE('📋 ORDERS'!$Q$4:$Q$675),0)=VALUE(A8))*1)</f>
        <v>1</v>
      </c>
      <c r="C8" s="172" t="str">
        <f>IFERROR(INDEX('📋 ORDERS'!$D$4:$D$675,MATCH(VALUE(A8),IFERROR(VALUE('📋 ORDERS'!$Q$4:$Q$675),0),0)),"")</f>
        <v/>
      </c>
      <c r="D8" s="172" t="str">
        <f>IF(IFERROR(INDEX('📋 ORDERS'!$E$4:$E$675,MATCH(VALUE(A8),IFERROR(VALUE('📋 ORDERS'!$Q$4:$Q$675),0),0)),0)=0,"",IFERROR(INDEX('📋 ORDERS'!$E$4:$E$675,MATCH(VALUE(A8),IFERROR(VALUE('📋 ORDERS'!$Q$4:$Q$675),0),0)),0))</f>
        <v/>
      </c>
      <c r="E8" s="173">
        <f>SUMPRODUCT((IFERROR(VALUE('📋 ORDERS'!$Q$4:$Q$675),0)=VALUE(A8))*IFERROR('📋 ORDERS'!$P$4:$P$675,0))</f>
        <v>1048.8800000000001</v>
      </c>
      <c r="F8" s="172" t="str">
        <f>IFERROR(INDEX('📋 ORDERS'!$R$4:$R$675,MATCH(VALUE(A8),IFERROR(VALUE('📋 ORDERS'!$Q$4:$Q$675),0),0)),"")</f>
        <v/>
      </c>
      <c r="G8" s="172" t="str">
        <f>IFERROR(INDEX('📋 ORDERS'!$S$4:$S$675,MATCH(VALUE(A8),IFERROR(VALUE('📋 ORDERS'!$Q$4:$Q$675),0),0)),"")</f>
        <v/>
      </c>
      <c r="H8" s="174" t="str">
        <f>IFERROR(INDEX('📋 ORDERS'!$W$4:$W$675,MATCH(VALUE(A8),IFERROR(VALUE('📋 ORDERS'!$Q$4:$Q$675),0),0)),"")</f>
        <v/>
      </c>
      <c r="I8" s="172" t="str">
        <f>IFERROR(INDEX('📋 ORDERS'!$Y$4:$Y$675,MATCH(VALUE(A8),IFERROR(VALUE('📋 ORDERS'!$Q$4:$Q$675),0),0)),"")</f>
        <v/>
      </c>
      <c r="J8" s="174" t="str">
        <f>IFERROR(INDEX('📋 ORDERS'!$Y$4:$Y$675,MATCH(VALUE(A8),IFERROR(VALUE('📋 ORDERS'!$Q$4:$Q$675),0),0)),"")</f>
        <v/>
      </c>
    </row>
    <row r="9" spans="1:10" ht="19.5" customHeight="1" x14ac:dyDescent="0.35">
      <c r="A9" s="175" t="s">
        <v>486</v>
      </c>
      <c r="B9" s="176">
        <f>SUMPRODUCT((IFERROR(VALUE('📋 ORDERS'!$Q$4:$Q$675),0)=VALUE(A9))*1)</f>
        <v>1</v>
      </c>
      <c r="C9" s="177" t="str">
        <f>IFERROR(INDEX('📋 ORDERS'!$D$4:$D$675,MATCH(VALUE(A9),IFERROR(VALUE('📋 ORDERS'!$Q$4:$Q$675),0),0)),"")</f>
        <v/>
      </c>
      <c r="D9" s="177" t="str">
        <f>IF(IFERROR(INDEX('📋 ORDERS'!$E$4:$E$675,MATCH(VALUE(A9),IFERROR(VALUE('📋 ORDERS'!$Q$4:$Q$675),0),0)),0)=0,"",IFERROR(INDEX('📋 ORDERS'!$E$4:$E$675,MATCH(VALUE(A9),IFERROR(VALUE('📋 ORDERS'!$Q$4:$Q$675),0),0)),0))</f>
        <v/>
      </c>
      <c r="E9" s="178">
        <f>SUMPRODUCT((IFERROR(VALUE('📋 ORDERS'!$Q$4:$Q$675),0)=VALUE(A9))*IFERROR('📋 ORDERS'!$P$4:$P$675,0))</f>
        <v>7325.25</v>
      </c>
      <c r="F9" s="177" t="str">
        <f>IFERROR(INDEX('📋 ORDERS'!$R$4:$R$675,MATCH(VALUE(A9),IFERROR(VALUE('📋 ORDERS'!$Q$4:$Q$675),0),0)),"")</f>
        <v/>
      </c>
      <c r="G9" s="177" t="str">
        <f>IFERROR(INDEX('📋 ORDERS'!$S$4:$S$675,MATCH(VALUE(A9),IFERROR(VALUE('📋 ORDERS'!$Q$4:$Q$675),0),0)),"")</f>
        <v/>
      </c>
      <c r="H9" s="179" t="str">
        <f>IFERROR(INDEX('📋 ORDERS'!$W$4:$W$675,MATCH(VALUE(A9),IFERROR(VALUE('📋 ORDERS'!$Q$4:$Q$675),0),0)),"")</f>
        <v/>
      </c>
      <c r="I9" s="177" t="str">
        <f>IFERROR(INDEX('📋 ORDERS'!$Y$4:$Y$675,MATCH(VALUE(A9),IFERROR(VALUE('📋 ORDERS'!$Q$4:$Q$675),0),0)),"")</f>
        <v/>
      </c>
      <c r="J9" s="179" t="str">
        <f>IFERROR(INDEX('📋 ORDERS'!$Y$4:$Y$675,MATCH(VALUE(A9),IFERROR(VALUE('📋 ORDERS'!$Q$4:$Q$675),0),0)),"")</f>
        <v/>
      </c>
    </row>
    <row r="10" spans="1:10" ht="19.5" customHeight="1" x14ac:dyDescent="0.35">
      <c r="A10" s="170" t="s">
        <v>129</v>
      </c>
      <c r="B10" s="171">
        <f>SUMPRODUCT((IFERROR(VALUE('📋 ORDERS'!$Q$4:$Q$675),0)=VALUE(A10))*1)</f>
        <v>0</v>
      </c>
      <c r="C10" s="172" t="str">
        <f>IFERROR(INDEX('📋 ORDERS'!$D$4:$D$675,MATCH(VALUE(A10),IFERROR(VALUE('📋 ORDERS'!$Q$4:$Q$675),0),0)),"")</f>
        <v/>
      </c>
      <c r="D10" s="172" t="str">
        <f>IF(IFERROR(INDEX('📋 ORDERS'!$E$4:$E$675,MATCH(VALUE(A10),IFERROR(VALUE('📋 ORDERS'!$Q$4:$Q$675),0),0)),0)=0,"",IFERROR(INDEX('📋 ORDERS'!$E$4:$E$675,MATCH(VALUE(A10),IFERROR(VALUE('📋 ORDERS'!$Q$4:$Q$675),0),0)),0))</f>
        <v/>
      </c>
      <c r="E10" s="173">
        <f>SUMPRODUCT((IFERROR(VALUE('📋 ORDERS'!$Q$4:$Q$675),0)=VALUE(A10))*IFERROR('📋 ORDERS'!$P$4:$P$675,0))</f>
        <v>0</v>
      </c>
      <c r="F10" s="172" t="str">
        <f>IFERROR(INDEX('📋 ORDERS'!$R$4:$R$675,MATCH(VALUE(A10),IFERROR(VALUE('📋 ORDERS'!$Q$4:$Q$675),0),0)),"")</f>
        <v/>
      </c>
      <c r="G10" s="172" t="str">
        <f>IFERROR(INDEX('📋 ORDERS'!$S$4:$S$675,MATCH(VALUE(A10),IFERROR(VALUE('📋 ORDERS'!$Q$4:$Q$675),0),0)),"")</f>
        <v/>
      </c>
      <c r="H10" s="174" t="str">
        <f>IFERROR(INDEX('📋 ORDERS'!$W$4:$W$675,MATCH(VALUE(A10),IFERROR(VALUE('📋 ORDERS'!$Q$4:$Q$675),0),0)),"")</f>
        <v/>
      </c>
      <c r="I10" s="172" t="str">
        <f>IFERROR(INDEX('📋 ORDERS'!$Y$4:$Y$675,MATCH(VALUE(A10),IFERROR(VALUE('📋 ORDERS'!$Q$4:$Q$675),0),0)),"")</f>
        <v/>
      </c>
      <c r="J10" s="174" t="str">
        <f>IFERROR(INDEX('📋 ORDERS'!$Y$4:$Y$675,MATCH(VALUE(A10),IFERROR(VALUE('📋 ORDERS'!$Q$4:$Q$675),0),0)),"")</f>
        <v/>
      </c>
    </row>
    <row r="11" spans="1:10" ht="19.5" customHeight="1" x14ac:dyDescent="0.35">
      <c r="A11" s="175" t="s">
        <v>134</v>
      </c>
      <c r="B11" s="176">
        <f>SUMPRODUCT((IFERROR(VALUE('📋 ORDERS'!$Q$4:$Q$675),0)=VALUE(A11))*1)</f>
        <v>0</v>
      </c>
      <c r="C11" s="177" t="str">
        <f>IFERROR(INDEX('📋 ORDERS'!$D$4:$D$675,MATCH(VALUE(A11),IFERROR(VALUE('📋 ORDERS'!$Q$4:$Q$675),0),0)),"")</f>
        <v/>
      </c>
      <c r="D11" s="177" t="str">
        <f>IF(IFERROR(INDEX('📋 ORDERS'!$E$4:$E$675,MATCH(VALUE(A11),IFERROR(VALUE('📋 ORDERS'!$Q$4:$Q$675),0),0)),0)=0,"",IFERROR(INDEX('📋 ORDERS'!$E$4:$E$675,MATCH(VALUE(A11),IFERROR(VALUE('📋 ORDERS'!$Q$4:$Q$675),0),0)),0))</f>
        <v/>
      </c>
      <c r="E11" s="178">
        <f>SUMPRODUCT((IFERROR(VALUE('📋 ORDERS'!$Q$4:$Q$675),0)=VALUE(A11))*IFERROR('📋 ORDERS'!$P$4:$P$675,0))</f>
        <v>0</v>
      </c>
      <c r="F11" s="177" t="str">
        <f>IFERROR(INDEX('📋 ORDERS'!$R$4:$R$675,MATCH(VALUE(A11),IFERROR(VALUE('📋 ORDERS'!$Q$4:$Q$675),0),0)),"")</f>
        <v/>
      </c>
      <c r="G11" s="177" t="str">
        <f>IFERROR(INDEX('📋 ORDERS'!$S$4:$S$675,MATCH(VALUE(A11),IFERROR(VALUE('📋 ORDERS'!$Q$4:$Q$675),0),0)),"")</f>
        <v/>
      </c>
      <c r="H11" s="179" t="str">
        <f>IFERROR(INDEX('📋 ORDERS'!$W$4:$W$675,MATCH(VALUE(A11),IFERROR(VALUE('📋 ORDERS'!$Q$4:$Q$675),0),0)),"")</f>
        <v/>
      </c>
      <c r="I11" s="177" t="str">
        <f>IFERROR(INDEX('📋 ORDERS'!$Y$4:$Y$675,MATCH(VALUE(A11),IFERROR(VALUE('📋 ORDERS'!$Q$4:$Q$675),0),0)),"")</f>
        <v/>
      </c>
      <c r="J11" s="179" t="str">
        <f>IFERROR(INDEX('📋 ORDERS'!$Y$4:$Y$675,MATCH(VALUE(A11),IFERROR(VALUE('📋 ORDERS'!$Q$4:$Q$675),0),0)),"")</f>
        <v/>
      </c>
    </row>
    <row r="12" spans="1:10" ht="19.5" customHeight="1" x14ac:dyDescent="0.35">
      <c r="A12" s="170" t="s">
        <v>138</v>
      </c>
      <c r="B12" s="171">
        <f>SUMPRODUCT((IFERROR(VALUE('📋 ORDERS'!$Q$4:$Q$675),0)=VALUE(A12))*1)</f>
        <v>0</v>
      </c>
      <c r="C12" s="172" t="str">
        <f>IFERROR(INDEX('📋 ORDERS'!$D$4:$D$675,MATCH(VALUE(A12),IFERROR(VALUE('📋 ORDERS'!$Q$4:$Q$675),0),0)),"")</f>
        <v/>
      </c>
      <c r="D12" s="172" t="str">
        <f>IF(IFERROR(INDEX('📋 ORDERS'!$E$4:$E$675,MATCH(VALUE(A12),IFERROR(VALUE('📋 ORDERS'!$Q$4:$Q$675),0),0)),0)=0,"",IFERROR(INDEX('📋 ORDERS'!$E$4:$E$675,MATCH(VALUE(A12),IFERROR(VALUE('📋 ORDERS'!$Q$4:$Q$675),0),0)),0))</f>
        <v/>
      </c>
      <c r="E12" s="173">
        <f>SUMPRODUCT((IFERROR(VALUE('📋 ORDERS'!$Q$4:$Q$675),0)=VALUE(A12))*IFERROR('📋 ORDERS'!$P$4:$P$675,0))</f>
        <v>0</v>
      </c>
      <c r="F12" s="172" t="str">
        <f>IFERROR(INDEX('📋 ORDERS'!$R$4:$R$675,MATCH(VALUE(A12),IFERROR(VALUE('📋 ORDERS'!$Q$4:$Q$675),0),0)),"")</f>
        <v/>
      </c>
      <c r="G12" s="172" t="str">
        <f>IFERROR(INDEX('📋 ORDERS'!$S$4:$S$675,MATCH(VALUE(A12),IFERROR(VALUE('📋 ORDERS'!$Q$4:$Q$675),0),0)),"")</f>
        <v/>
      </c>
      <c r="H12" s="174" t="str">
        <f>IFERROR(INDEX('📋 ORDERS'!$W$4:$W$675,MATCH(VALUE(A12),IFERROR(VALUE('📋 ORDERS'!$Q$4:$Q$675),0),0)),"")</f>
        <v/>
      </c>
      <c r="I12" s="172" t="str">
        <f>IFERROR(INDEX('📋 ORDERS'!$Y$4:$Y$675,MATCH(VALUE(A12),IFERROR(VALUE('📋 ORDERS'!$Q$4:$Q$675),0),0)),"")</f>
        <v/>
      </c>
      <c r="J12" s="174" t="str">
        <f>IFERROR(INDEX('📋 ORDERS'!$Y$4:$Y$675,MATCH(VALUE(A12),IFERROR(VALUE('📋 ORDERS'!$Q$4:$Q$675),0),0)),"")</f>
        <v/>
      </c>
    </row>
    <row r="13" spans="1:10" ht="19.5" customHeight="1" x14ac:dyDescent="0.35">
      <c r="A13" s="175" t="s">
        <v>167</v>
      </c>
      <c r="B13" s="176">
        <f>SUMPRODUCT((IFERROR(VALUE('📋 ORDERS'!$Q$4:$Q$675),0)=VALUE(A13))*1)</f>
        <v>0</v>
      </c>
      <c r="C13" s="177" t="str">
        <f>IFERROR(INDEX('📋 ORDERS'!$D$4:$D$675,MATCH(VALUE(A13),IFERROR(VALUE('📋 ORDERS'!$Q$4:$Q$675),0),0)),"")</f>
        <v/>
      </c>
      <c r="D13" s="177" t="str">
        <f>IF(IFERROR(INDEX('📋 ORDERS'!$E$4:$E$675,MATCH(VALUE(A13),IFERROR(VALUE('📋 ORDERS'!$Q$4:$Q$675),0),0)),0)=0,"",IFERROR(INDEX('📋 ORDERS'!$E$4:$E$675,MATCH(VALUE(A13),IFERROR(VALUE('📋 ORDERS'!$Q$4:$Q$675),0),0)),0))</f>
        <v/>
      </c>
      <c r="E13" s="178">
        <f>SUMPRODUCT((IFERROR(VALUE('📋 ORDERS'!$Q$4:$Q$675),0)=VALUE(A13))*IFERROR('📋 ORDERS'!$P$4:$P$675,0))</f>
        <v>0</v>
      </c>
      <c r="F13" s="177" t="str">
        <f>IFERROR(INDEX('📋 ORDERS'!$R$4:$R$675,MATCH(VALUE(A13),IFERROR(VALUE('📋 ORDERS'!$Q$4:$Q$675),0),0)),"")</f>
        <v/>
      </c>
      <c r="G13" s="177" t="str">
        <f>IFERROR(INDEX('📋 ORDERS'!$S$4:$S$675,MATCH(VALUE(A13),IFERROR(VALUE('📋 ORDERS'!$Q$4:$Q$675),0),0)),"")</f>
        <v/>
      </c>
      <c r="H13" s="179" t="str">
        <f>IFERROR(INDEX('📋 ORDERS'!$W$4:$W$675,MATCH(VALUE(A13),IFERROR(VALUE('📋 ORDERS'!$Q$4:$Q$675),0),0)),"")</f>
        <v/>
      </c>
      <c r="I13" s="177" t="str">
        <f>IFERROR(INDEX('📋 ORDERS'!$Y$4:$Y$675,MATCH(VALUE(A13),IFERROR(VALUE('📋 ORDERS'!$Q$4:$Q$675),0),0)),"")</f>
        <v/>
      </c>
      <c r="J13" s="179" t="str">
        <f>IFERROR(INDEX('📋 ORDERS'!$Y$4:$Y$675,MATCH(VALUE(A13),IFERROR(VALUE('📋 ORDERS'!$Q$4:$Q$675),0),0)),"")</f>
        <v/>
      </c>
    </row>
    <row r="14" spans="1:10" ht="19.5" customHeight="1" x14ac:dyDescent="0.35">
      <c r="A14" s="170" t="s">
        <v>173</v>
      </c>
      <c r="B14" s="171">
        <f>SUMPRODUCT((IFERROR(VALUE('📋 ORDERS'!$Q$4:$Q$675),0)=VALUE(A14))*1)</f>
        <v>0</v>
      </c>
      <c r="C14" s="172" t="str">
        <f>IFERROR(INDEX('📋 ORDERS'!$D$4:$D$675,MATCH(VALUE(A14),IFERROR(VALUE('📋 ORDERS'!$Q$4:$Q$675),0),0)),"")</f>
        <v/>
      </c>
      <c r="D14" s="172" t="str">
        <f>IF(IFERROR(INDEX('📋 ORDERS'!$E$4:$E$675,MATCH(VALUE(A14),IFERROR(VALUE('📋 ORDERS'!$Q$4:$Q$675),0),0)),0)=0,"",IFERROR(INDEX('📋 ORDERS'!$E$4:$E$675,MATCH(VALUE(A14),IFERROR(VALUE('📋 ORDERS'!$Q$4:$Q$675),0),0)),0))</f>
        <v/>
      </c>
      <c r="E14" s="173">
        <f>SUMPRODUCT((IFERROR(VALUE('📋 ORDERS'!$Q$4:$Q$675),0)=VALUE(A14))*IFERROR('📋 ORDERS'!$P$4:$P$675,0))</f>
        <v>0</v>
      </c>
      <c r="F14" s="172" t="str">
        <f>IFERROR(INDEX('📋 ORDERS'!$R$4:$R$675,MATCH(VALUE(A14),IFERROR(VALUE('📋 ORDERS'!$Q$4:$Q$675),0),0)),"")</f>
        <v/>
      </c>
      <c r="G14" s="172" t="str">
        <f>IFERROR(INDEX('📋 ORDERS'!$S$4:$S$675,MATCH(VALUE(A14),IFERROR(VALUE('📋 ORDERS'!$Q$4:$Q$675),0),0)),"")</f>
        <v/>
      </c>
      <c r="H14" s="174" t="str">
        <f>IFERROR(INDEX('📋 ORDERS'!$W$4:$W$675,MATCH(VALUE(A14),IFERROR(VALUE('📋 ORDERS'!$Q$4:$Q$675),0),0)),"")</f>
        <v/>
      </c>
      <c r="I14" s="172" t="str">
        <f>IFERROR(INDEX('📋 ORDERS'!$Y$4:$Y$675,MATCH(VALUE(A14),IFERROR(VALUE('📋 ORDERS'!$Q$4:$Q$675),0),0)),"")</f>
        <v/>
      </c>
      <c r="J14" s="174" t="str">
        <f>IFERROR(INDEX('📋 ORDERS'!$Y$4:$Y$675,MATCH(VALUE(A14),IFERROR(VALUE('📋 ORDERS'!$Q$4:$Q$675),0),0)),"")</f>
        <v/>
      </c>
    </row>
    <row r="15" spans="1:10" ht="19.5" customHeight="1" x14ac:dyDescent="0.35">
      <c r="A15" s="175" t="s">
        <v>176</v>
      </c>
      <c r="B15" s="176">
        <f>SUMPRODUCT((IFERROR(VALUE('📋 ORDERS'!$Q$4:$Q$675),0)=VALUE(A15))*1)</f>
        <v>0</v>
      </c>
      <c r="C15" s="177" t="str">
        <f>IFERROR(INDEX('📋 ORDERS'!$D$4:$D$675,MATCH(VALUE(A15),IFERROR(VALUE('📋 ORDERS'!$Q$4:$Q$675),0),0)),"")</f>
        <v/>
      </c>
      <c r="D15" s="177" t="str">
        <f>IF(IFERROR(INDEX('📋 ORDERS'!$E$4:$E$675,MATCH(VALUE(A15),IFERROR(VALUE('📋 ORDERS'!$Q$4:$Q$675),0),0)),0)=0,"",IFERROR(INDEX('📋 ORDERS'!$E$4:$E$675,MATCH(VALUE(A15),IFERROR(VALUE('📋 ORDERS'!$Q$4:$Q$675),0),0)),0))</f>
        <v/>
      </c>
      <c r="E15" s="178">
        <f>SUMPRODUCT((IFERROR(VALUE('📋 ORDERS'!$Q$4:$Q$675),0)=VALUE(A15))*IFERROR('📋 ORDERS'!$P$4:$P$675,0))</f>
        <v>0</v>
      </c>
      <c r="F15" s="177" t="str">
        <f>IFERROR(INDEX('📋 ORDERS'!$R$4:$R$675,MATCH(VALUE(A15),IFERROR(VALUE('📋 ORDERS'!$Q$4:$Q$675),0),0)),"")</f>
        <v/>
      </c>
      <c r="G15" s="177" t="str">
        <f>IFERROR(INDEX('📋 ORDERS'!$S$4:$S$675,MATCH(VALUE(A15),IFERROR(VALUE('📋 ORDERS'!$Q$4:$Q$675),0),0)),"")</f>
        <v/>
      </c>
      <c r="H15" s="179" t="str">
        <f>IFERROR(INDEX('📋 ORDERS'!$W$4:$W$675,MATCH(VALUE(A15),IFERROR(VALUE('📋 ORDERS'!$Q$4:$Q$675),0),0)),"")</f>
        <v/>
      </c>
      <c r="I15" s="177" t="str">
        <f>IFERROR(INDEX('📋 ORDERS'!$Y$4:$Y$675,MATCH(VALUE(A15),IFERROR(VALUE('📋 ORDERS'!$Q$4:$Q$675),0),0)),"")</f>
        <v/>
      </c>
      <c r="J15" s="179" t="str">
        <f>IFERROR(INDEX('📋 ORDERS'!$Y$4:$Y$675,MATCH(VALUE(A15),IFERROR(VALUE('📋 ORDERS'!$Q$4:$Q$675),0),0)),"")</f>
        <v/>
      </c>
    </row>
    <row r="16" spans="1:10" ht="19.5" customHeight="1" x14ac:dyDescent="0.35">
      <c r="A16" s="170" t="s">
        <v>487</v>
      </c>
      <c r="B16" s="171">
        <f>SUMPRODUCT((IFERROR(VALUE('📋 ORDERS'!$Q$4:$Q$675),0)=VALUE(A16))*1)</f>
        <v>0</v>
      </c>
      <c r="C16" s="172" t="str">
        <f>IFERROR(INDEX('📋 ORDERS'!$D$4:$D$675,MATCH(VALUE(A16),IFERROR(VALUE('📋 ORDERS'!$Q$4:$Q$675),0),0)),"")</f>
        <v/>
      </c>
      <c r="D16" s="172" t="str">
        <f>IF(IFERROR(INDEX('📋 ORDERS'!$E$4:$E$675,MATCH(VALUE(A16),IFERROR(VALUE('📋 ORDERS'!$Q$4:$Q$675),0),0)),0)=0,"",IFERROR(INDEX('📋 ORDERS'!$E$4:$E$675,MATCH(VALUE(A16),IFERROR(VALUE('📋 ORDERS'!$Q$4:$Q$675),0),0)),0))</f>
        <v/>
      </c>
      <c r="E16" s="173">
        <f>SUMPRODUCT((IFERROR(VALUE('📋 ORDERS'!$Q$4:$Q$675),0)=VALUE(A16))*IFERROR('📋 ORDERS'!$P$4:$P$675,0))</f>
        <v>0</v>
      </c>
      <c r="F16" s="172" t="str">
        <f>IFERROR(INDEX('📋 ORDERS'!$R$4:$R$675,MATCH(VALUE(A16),IFERROR(VALUE('📋 ORDERS'!$Q$4:$Q$675),0),0)),"")</f>
        <v/>
      </c>
      <c r="G16" s="172" t="str">
        <f>IFERROR(INDEX('📋 ORDERS'!$S$4:$S$675,MATCH(VALUE(A16),IFERROR(VALUE('📋 ORDERS'!$Q$4:$Q$675),0),0)),"")</f>
        <v/>
      </c>
      <c r="H16" s="174" t="str">
        <f>IFERROR(INDEX('📋 ORDERS'!$W$4:$W$675,MATCH(VALUE(A16),IFERROR(VALUE('📋 ORDERS'!$Q$4:$Q$675),0),0)),"")</f>
        <v/>
      </c>
      <c r="I16" s="172" t="str">
        <f>IFERROR(INDEX('📋 ORDERS'!$Y$4:$Y$675,MATCH(VALUE(A16),IFERROR(VALUE('📋 ORDERS'!$Q$4:$Q$675),0),0)),"")</f>
        <v/>
      </c>
      <c r="J16" s="174" t="str">
        <f>IFERROR(INDEX('📋 ORDERS'!$Y$4:$Y$675,MATCH(VALUE(A16),IFERROR(VALUE('📋 ORDERS'!$Q$4:$Q$675),0),0)),"")</f>
        <v/>
      </c>
    </row>
    <row r="17" spans="1:10" ht="19.5" customHeight="1" x14ac:dyDescent="0.35">
      <c r="A17" s="175" t="s">
        <v>232</v>
      </c>
      <c r="B17" s="176">
        <f>SUMPRODUCT((IFERROR(VALUE('📋 ORDERS'!$Q$4:$Q$675),0)=VALUE(A17))*1)</f>
        <v>0</v>
      </c>
      <c r="C17" s="177" t="str">
        <f>IFERROR(INDEX('📋 ORDERS'!$D$4:$D$675,MATCH(VALUE(A17),IFERROR(VALUE('📋 ORDERS'!$Q$4:$Q$675),0),0)),"")</f>
        <v/>
      </c>
      <c r="D17" s="177" t="str">
        <f>IF(IFERROR(INDEX('📋 ORDERS'!$E$4:$E$675,MATCH(VALUE(A17),IFERROR(VALUE('📋 ORDERS'!$Q$4:$Q$675),0),0)),0)=0,"",IFERROR(INDEX('📋 ORDERS'!$E$4:$E$675,MATCH(VALUE(A17),IFERROR(VALUE('📋 ORDERS'!$Q$4:$Q$675),0),0)),0))</f>
        <v/>
      </c>
      <c r="E17" s="178">
        <f>SUMPRODUCT((IFERROR(VALUE('📋 ORDERS'!$Q$4:$Q$675),0)=VALUE(A17))*IFERROR('📋 ORDERS'!$P$4:$P$675,0))</f>
        <v>0</v>
      </c>
      <c r="F17" s="177" t="str">
        <f>IFERROR(INDEX('📋 ORDERS'!$R$4:$R$675,MATCH(VALUE(A17),IFERROR(VALUE('📋 ORDERS'!$Q$4:$Q$675),0),0)),"")</f>
        <v/>
      </c>
      <c r="G17" s="177" t="str">
        <f>IFERROR(INDEX('📋 ORDERS'!$S$4:$S$675,MATCH(VALUE(A17),IFERROR(VALUE('📋 ORDERS'!$Q$4:$Q$675),0),0)),"")</f>
        <v/>
      </c>
      <c r="H17" s="179" t="str">
        <f>IFERROR(INDEX('📋 ORDERS'!$W$4:$W$675,MATCH(VALUE(A17),IFERROR(VALUE('📋 ORDERS'!$Q$4:$Q$675),0),0)),"")</f>
        <v/>
      </c>
      <c r="I17" s="177" t="str">
        <f>IFERROR(INDEX('📋 ORDERS'!$Y$4:$Y$675,MATCH(VALUE(A17),IFERROR(VALUE('📋 ORDERS'!$Q$4:$Q$675),0),0)),"")</f>
        <v/>
      </c>
      <c r="J17" s="179" t="str">
        <f>IFERROR(INDEX('📋 ORDERS'!$Y$4:$Y$675,MATCH(VALUE(A17),IFERROR(VALUE('📋 ORDERS'!$Q$4:$Q$675),0),0)),"")</f>
        <v/>
      </c>
    </row>
    <row r="18" spans="1:10" ht="19.5" customHeight="1" x14ac:dyDescent="0.35">
      <c r="A18" s="170" t="s">
        <v>237</v>
      </c>
      <c r="B18" s="171">
        <f>SUMPRODUCT((IFERROR(VALUE('📋 ORDERS'!$Q$4:$Q$675),0)=VALUE(A18))*1)</f>
        <v>0</v>
      </c>
      <c r="C18" s="172" t="str">
        <f>IFERROR(INDEX('📋 ORDERS'!$D$4:$D$675,MATCH(VALUE(A18),IFERROR(VALUE('📋 ORDERS'!$Q$4:$Q$675),0),0)),"")</f>
        <v/>
      </c>
      <c r="D18" s="172" t="str">
        <f>IF(IFERROR(INDEX('📋 ORDERS'!$E$4:$E$675,MATCH(VALUE(A18),IFERROR(VALUE('📋 ORDERS'!$Q$4:$Q$675),0),0)),0)=0,"",IFERROR(INDEX('📋 ORDERS'!$E$4:$E$675,MATCH(VALUE(A18),IFERROR(VALUE('📋 ORDERS'!$Q$4:$Q$675),0),0)),0))</f>
        <v/>
      </c>
      <c r="E18" s="173">
        <f>SUMPRODUCT((IFERROR(VALUE('📋 ORDERS'!$Q$4:$Q$675),0)=VALUE(A18))*IFERROR('📋 ORDERS'!$P$4:$P$675,0))</f>
        <v>0</v>
      </c>
      <c r="F18" s="172" t="str">
        <f>IFERROR(INDEX('📋 ORDERS'!$R$4:$R$675,MATCH(VALUE(A18),IFERROR(VALUE('📋 ORDERS'!$Q$4:$Q$675),0),0)),"")</f>
        <v/>
      </c>
      <c r="G18" s="172" t="str">
        <f>IFERROR(INDEX('📋 ORDERS'!$S$4:$S$675,MATCH(VALUE(A18),IFERROR(VALUE('📋 ORDERS'!$Q$4:$Q$675),0),0)),"")</f>
        <v/>
      </c>
      <c r="H18" s="174" t="str">
        <f>IFERROR(INDEX('📋 ORDERS'!$W$4:$W$675,MATCH(VALUE(A18),IFERROR(VALUE('📋 ORDERS'!$Q$4:$Q$675),0),0)),"")</f>
        <v/>
      </c>
      <c r="I18" s="172" t="str">
        <f>IFERROR(INDEX('📋 ORDERS'!$Y$4:$Y$675,MATCH(VALUE(A18),IFERROR(VALUE('📋 ORDERS'!$Q$4:$Q$675),0),0)),"")</f>
        <v/>
      </c>
      <c r="J18" s="174" t="str">
        <f>IFERROR(INDEX('📋 ORDERS'!$Y$4:$Y$675,MATCH(VALUE(A18),IFERROR(VALUE('📋 ORDERS'!$Q$4:$Q$675),0),0)),"")</f>
        <v/>
      </c>
    </row>
    <row r="19" spans="1:10" ht="19.5" customHeight="1" x14ac:dyDescent="0.35">
      <c r="A19" s="175" t="s">
        <v>240</v>
      </c>
      <c r="B19" s="176">
        <f>SUMPRODUCT((IFERROR(VALUE('📋 ORDERS'!$Q$4:$Q$675),0)=VALUE(A19))*1)</f>
        <v>0</v>
      </c>
      <c r="C19" s="177" t="str">
        <f>IFERROR(INDEX('📋 ORDERS'!$D$4:$D$675,MATCH(VALUE(A19),IFERROR(VALUE('📋 ORDERS'!$Q$4:$Q$675),0),0)),"")</f>
        <v/>
      </c>
      <c r="D19" s="177" t="str">
        <f>IF(IFERROR(INDEX('📋 ORDERS'!$E$4:$E$675,MATCH(VALUE(A19),IFERROR(VALUE('📋 ORDERS'!$Q$4:$Q$675),0),0)),0)=0,"",IFERROR(INDEX('📋 ORDERS'!$E$4:$E$675,MATCH(VALUE(A19),IFERROR(VALUE('📋 ORDERS'!$Q$4:$Q$675),0),0)),0))</f>
        <v/>
      </c>
      <c r="E19" s="178">
        <f>SUMPRODUCT((IFERROR(VALUE('📋 ORDERS'!$Q$4:$Q$675),0)=VALUE(A19))*IFERROR('📋 ORDERS'!$P$4:$P$675,0))</f>
        <v>0</v>
      </c>
      <c r="F19" s="177" t="str">
        <f>IFERROR(INDEX('📋 ORDERS'!$R$4:$R$675,MATCH(VALUE(A19),IFERROR(VALUE('📋 ORDERS'!$Q$4:$Q$675),0),0)),"")</f>
        <v/>
      </c>
      <c r="G19" s="177" t="str">
        <f>IFERROR(INDEX('📋 ORDERS'!$S$4:$S$675,MATCH(VALUE(A19),IFERROR(VALUE('📋 ORDERS'!$Q$4:$Q$675),0),0)),"")</f>
        <v/>
      </c>
      <c r="H19" s="179" t="str">
        <f>IFERROR(INDEX('📋 ORDERS'!$W$4:$W$675,MATCH(VALUE(A19),IFERROR(VALUE('📋 ORDERS'!$Q$4:$Q$675),0),0)),"")</f>
        <v/>
      </c>
      <c r="I19" s="177" t="str">
        <f>IFERROR(INDEX('📋 ORDERS'!$Y$4:$Y$675,MATCH(VALUE(A19),IFERROR(VALUE('📋 ORDERS'!$Q$4:$Q$675),0),0)),"")</f>
        <v/>
      </c>
      <c r="J19" s="179" t="str">
        <f>IFERROR(INDEX('📋 ORDERS'!$Y$4:$Y$675,MATCH(VALUE(A19),IFERROR(VALUE('📋 ORDERS'!$Q$4:$Q$675),0),0)),"")</f>
        <v/>
      </c>
    </row>
    <row r="20" spans="1:10" ht="19.5" customHeight="1" x14ac:dyDescent="0.35">
      <c r="A20" s="170" t="s">
        <v>254</v>
      </c>
      <c r="B20" s="171">
        <f>SUMPRODUCT((IFERROR(VALUE('📋 ORDERS'!$Q$4:$Q$675),0)=VALUE(A20))*1)</f>
        <v>0</v>
      </c>
      <c r="C20" s="172" t="str">
        <f>IFERROR(INDEX('📋 ORDERS'!$D$4:$D$675,MATCH(VALUE(A20),IFERROR(VALUE('📋 ORDERS'!$Q$4:$Q$675),0),0)),"")</f>
        <v/>
      </c>
      <c r="D20" s="172" t="str">
        <f>IF(IFERROR(INDEX('📋 ORDERS'!$E$4:$E$675,MATCH(VALUE(A20),IFERROR(VALUE('📋 ORDERS'!$Q$4:$Q$675),0),0)),0)=0,"",IFERROR(INDEX('📋 ORDERS'!$E$4:$E$675,MATCH(VALUE(A20),IFERROR(VALUE('📋 ORDERS'!$Q$4:$Q$675),0),0)),0))</f>
        <v/>
      </c>
      <c r="E20" s="173">
        <f>SUMPRODUCT((IFERROR(VALUE('📋 ORDERS'!$Q$4:$Q$675),0)=VALUE(A20))*IFERROR('📋 ORDERS'!$P$4:$P$675,0))</f>
        <v>0</v>
      </c>
      <c r="F20" s="172" t="str">
        <f>IFERROR(INDEX('📋 ORDERS'!$R$4:$R$675,MATCH(VALUE(A20),IFERROR(VALUE('📋 ORDERS'!$Q$4:$Q$675),0),0)),"")</f>
        <v/>
      </c>
      <c r="G20" s="172" t="str">
        <f>IFERROR(INDEX('📋 ORDERS'!$S$4:$S$675,MATCH(VALUE(A20),IFERROR(VALUE('📋 ORDERS'!$Q$4:$Q$675),0),0)),"")</f>
        <v/>
      </c>
      <c r="H20" s="174" t="str">
        <f>IFERROR(INDEX('📋 ORDERS'!$W$4:$W$675,MATCH(VALUE(A20),IFERROR(VALUE('📋 ORDERS'!$Q$4:$Q$675),0),0)),"")</f>
        <v/>
      </c>
      <c r="I20" s="172" t="str">
        <f>IFERROR(INDEX('📋 ORDERS'!$Y$4:$Y$675,MATCH(VALUE(A20),IFERROR(VALUE('📋 ORDERS'!$Q$4:$Q$675),0),0)),"")</f>
        <v/>
      </c>
      <c r="J20" s="174" t="str">
        <f>IFERROR(INDEX('📋 ORDERS'!$Y$4:$Y$675,MATCH(VALUE(A20),IFERROR(VALUE('📋 ORDERS'!$Q$4:$Q$675),0),0)),"")</f>
        <v/>
      </c>
    </row>
    <row r="21" spans="1:10" ht="19.5" customHeight="1" x14ac:dyDescent="0.35">
      <c r="A21" s="175" t="s">
        <v>255</v>
      </c>
      <c r="B21" s="176">
        <f>SUMPRODUCT((IFERROR(VALUE('📋 ORDERS'!$Q$4:$Q$675),0)=VALUE(A21))*1)</f>
        <v>0</v>
      </c>
      <c r="C21" s="177" t="str">
        <f>IFERROR(INDEX('📋 ORDERS'!$D$4:$D$675,MATCH(VALUE(A21),IFERROR(VALUE('📋 ORDERS'!$Q$4:$Q$675),0),0)),"")</f>
        <v/>
      </c>
      <c r="D21" s="177" t="str">
        <f>IF(IFERROR(INDEX('📋 ORDERS'!$E$4:$E$675,MATCH(VALUE(A21),IFERROR(VALUE('📋 ORDERS'!$Q$4:$Q$675),0),0)),0)=0,"",IFERROR(INDEX('📋 ORDERS'!$E$4:$E$675,MATCH(VALUE(A21),IFERROR(VALUE('📋 ORDERS'!$Q$4:$Q$675),0),0)),0))</f>
        <v/>
      </c>
      <c r="E21" s="178">
        <f>SUMPRODUCT((IFERROR(VALUE('📋 ORDERS'!$Q$4:$Q$675),0)=VALUE(A21))*IFERROR('📋 ORDERS'!$P$4:$P$675,0))</f>
        <v>0</v>
      </c>
      <c r="F21" s="177" t="str">
        <f>IFERROR(INDEX('📋 ORDERS'!$R$4:$R$675,MATCH(VALUE(A21),IFERROR(VALUE('📋 ORDERS'!$Q$4:$Q$675),0),0)),"")</f>
        <v/>
      </c>
      <c r="G21" s="177" t="str">
        <f>IFERROR(INDEX('📋 ORDERS'!$S$4:$S$675,MATCH(VALUE(A21),IFERROR(VALUE('📋 ORDERS'!$Q$4:$Q$675),0),0)),"")</f>
        <v/>
      </c>
      <c r="H21" s="179" t="str">
        <f>IFERROR(INDEX('📋 ORDERS'!$W$4:$W$675,MATCH(VALUE(A21),IFERROR(VALUE('📋 ORDERS'!$Q$4:$Q$675),0),0)),"")</f>
        <v/>
      </c>
      <c r="I21" s="177" t="str">
        <f>IFERROR(INDEX('📋 ORDERS'!$Y$4:$Y$675,MATCH(VALUE(A21),IFERROR(VALUE('📋 ORDERS'!$Q$4:$Q$675),0),0)),"")</f>
        <v/>
      </c>
      <c r="J21" s="179" t="str">
        <f>IFERROR(INDEX('📋 ORDERS'!$Y$4:$Y$675,MATCH(VALUE(A21),IFERROR(VALUE('📋 ORDERS'!$Q$4:$Q$675),0),0)),"")</f>
        <v/>
      </c>
    </row>
    <row r="22" spans="1:10" ht="19.5" customHeight="1" x14ac:dyDescent="0.35">
      <c r="A22" s="170" t="s">
        <v>258</v>
      </c>
      <c r="B22" s="171">
        <f>SUMPRODUCT((IFERROR(VALUE('📋 ORDERS'!$Q$4:$Q$675),0)=VALUE(A22))*1)</f>
        <v>0</v>
      </c>
      <c r="C22" s="172" t="str">
        <f>IFERROR(INDEX('📋 ORDERS'!$D$4:$D$675,MATCH(VALUE(A22),IFERROR(VALUE('📋 ORDERS'!$Q$4:$Q$675),0),0)),"")</f>
        <v/>
      </c>
      <c r="D22" s="172" t="str">
        <f>IF(IFERROR(INDEX('📋 ORDERS'!$E$4:$E$675,MATCH(VALUE(A22),IFERROR(VALUE('📋 ORDERS'!$Q$4:$Q$675),0),0)),0)=0,"",IFERROR(INDEX('📋 ORDERS'!$E$4:$E$675,MATCH(VALUE(A22),IFERROR(VALUE('📋 ORDERS'!$Q$4:$Q$675),0),0)),0))</f>
        <v/>
      </c>
      <c r="E22" s="173">
        <f>SUMPRODUCT((IFERROR(VALUE('📋 ORDERS'!$Q$4:$Q$675),0)=VALUE(A22))*IFERROR('📋 ORDERS'!$P$4:$P$675,0))</f>
        <v>0</v>
      </c>
      <c r="F22" s="172" t="str">
        <f>IFERROR(INDEX('📋 ORDERS'!$R$4:$R$675,MATCH(VALUE(A22),IFERROR(VALUE('📋 ORDERS'!$Q$4:$Q$675),0),0)),"")</f>
        <v/>
      </c>
      <c r="G22" s="172" t="str">
        <f>IFERROR(INDEX('📋 ORDERS'!$S$4:$S$675,MATCH(VALUE(A22),IFERROR(VALUE('📋 ORDERS'!$Q$4:$Q$675),0),0)),"")</f>
        <v/>
      </c>
      <c r="H22" s="174" t="str">
        <f>IFERROR(INDEX('📋 ORDERS'!$W$4:$W$675,MATCH(VALUE(A22),IFERROR(VALUE('📋 ORDERS'!$Q$4:$Q$675),0),0)),"")</f>
        <v/>
      </c>
      <c r="I22" s="172" t="str">
        <f>IFERROR(INDEX('📋 ORDERS'!$Y$4:$Y$675,MATCH(VALUE(A22),IFERROR(VALUE('📋 ORDERS'!$Q$4:$Q$675),0),0)),"")</f>
        <v/>
      </c>
      <c r="J22" s="174" t="str">
        <f>IFERROR(INDEX('📋 ORDERS'!$Y$4:$Y$675,MATCH(VALUE(A22),IFERROR(VALUE('📋 ORDERS'!$Q$4:$Q$675),0),0)),"")</f>
        <v/>
      </c>
    </row>
    <row r="23" spans="1:10" ht="19.5" customHeight="1" x14ac:dyDescent="0.35">
      <c r="A23" s="175" t="s">
        <v>281</v>
      </c>
      <c r="B23" s="176">
        <f>SUMPRODUCT((IFERROR(VALUE('📋 ORDERS'!$Q$4:$Q$675),0)=VALUE(A23))*1)</f>
        <v>0</v>
      </c>
      <c r="C23" s="177" t="str">
        <f>IFERROR(INDEX('📋 ORDERS'!$D$4:$D$675,MATCH(VALUE(A23),IFERROR(VALUE('📋 ORDERS'!$Q$4:$Q$675),0),0)),"")</f>
        <v/>
      </c>
      <c r="D23" s="177" t="str">
        <f>IF(IFERROR(INDEX('📋 ORDERS'!$E$4:$E$675,MATCH(VALUE(A23),IFERROR(VALUE('📋 ORDERS'!$Q$4:$Q$675),0),0)),0)=0,"",IFERROR(INDEX('📋 ORDERS'!$E$4:$E$675,MATCH(VALUE(A23),IFERROR(VALUE('📋 ORDERS'!$Q$4:$Q$675),0),0)),0))</f>
        <v/>
      </c>
      <c r="E23" s="178">
        <f>SUMPRODUCT((IFERROR(VALUE('📋 ORDERS'!$Q$4:$Q$675),0)=VALUE(A23))*IFERROR('📋 ORDERS'!$P$4:$P$675,0))</f>
        <v>0</v>
      </c>
      <c r="F23" s="177" t="str">
        <f>IFERROR(INDEX('📋 ORDERS'!$R$4:$R$675,MATCH(VALUE(A23),IFERROR(VALUE('📋 ORDERS'!$Q$4:$Q$675),0),0)),"")</f>
        <v/>
      </c>
      <c r="G23" s="177" t="str">
        <f>IFERROR(INDEX('📋 ORDERS'!$S$4:$S$675,MATCH(VALUE(A23),IFERROR(VALUE('📋 ORDERS'!$Q$4:$Q$675),0),0)),"")</f>
        <v/>
      </c>
      <c r="H23" s="179" t="str">
        <f>IFERROR(INDEX('📋 ORDERS'!$W$4:$W$675,MATCH(VALUE(A23),IFERROR(VALUE('📋 ORDERS'!$Q$4:$Q$675),0),0)),"")</f>
        <v/>
      </c>
      <c r="I23" s="177" t="str">
        <f>IFERROR(INDEX('📋 ORDERS'!$Y$4:$Y$675,MATCH(VALUE(A23),IFERROR(VALUE('📋 ORDERS'!$Q$4:$Q$675),0),0)),"")</f>
        <v/>
      </c>
      <c r="J23" s="179" t="str">
        <f>IFERROR(INDEX('📋 ORDERS'!$Y$4:$Y$675,MATCH(VALUE(A23),IFERROR(VALUE('📋 ORDERS'!$Q$4:$Q$675),0),0)),"")</f>
        <v/>
      </c>
    </row>
    <row r="24" spans="1:10" ht="19.5" customHeight="1" x14ac:dyDescent="0.35">
      <c r="A24" s="170" t="s">
        <v>289</v>
      </c>
      <c r="B24" s="171">
        <f>SUMPRODUCT((IFERROR(VALUE('📋 ORDERS'!$Q$4:$Q$675),0)=VALUE(A24))*1)</f>
        <v>0</v>
      </c>
      <c r="C24" s="172" t="str">
        <f>IFERROR(INDEX('📋 ORDERS'!$D$4:$D$675,MATCH(VALUE(A24),IFERROR(VALUE('📋 ORDERS'!$Q$4:$Q$675),0),0)),"")</f>
        <v/>
      </c>
      <c r="D24" s="172" t="str">
        <f>IF(IFERROR(INDEX('📋 ORDERS'!$E$4:$E$675,MATCH(VALUE(A24),IFERROR(VALUE('📋 ORDERS'!$Q$4:$Q$675),0),0)),0)=0,"",IFERROR(INDEX('📋 ORDERS'!$E$4:$E$675,MATCH(VALUE(A24),IFERROR(VALUE('📋 ORDERS'!$Q$4:$Q$675),0),0)),0))</f>
        <v/>
      </c>
      <c r="E24" s="173">
        <f>SUMPRODUCT((IFERROR(VALUE('📋 ORDERS'!$Q$4:$Q$675),0)=VALUE(A24))*IFERROR('📋 ORDERS'!$P$4:$P$675,0))</f>
        <v>0</v>
      </c>
      <c r="F24" s="172" t="str">
        <f>IFERROR(INDEX('📋 ORDERS'!$R$4:$R$675,MATCH(VALUE(A24),IFERROR(VALUE('📋 ORDERS'!$Q$4:$Q$675),0),0)),"")</f>
        <v/>
      </c>
      <c r="G24" s="172" t="str">
        <f>IFERROR(INDEX('📋 ORDERS'!$S$4:$S$675,MATCH(VALUE(A24),IFERROR(VALUE('📋 ORDERS'!$Q$4:$Q$675),0),0)),"")</f>
        <v/>
      </c>
      <c r="H24" s="174" t="str">
        <f>IFERROR(INDEX('📋 ORDERS'!$W$4:$W$675,MATCH(VALUE(A24),IFERROR(VALUE('📋 ORDERS'!$Q$4:$Q$675),0),0)),"")</f>
        <v/>
      </c>
      <c r="I24" s="172" t="str">
        <f>IFERROR(INDEX('📋 ORDERS'!$Y$4:$Y$675,MATCH(VALUE(A24),IFERROR(VALUE('📋 ORDERS'!$Q$4:$Q$675),0),0)),"")</f>
        <v/>
      </c>
      <c r="J24" s="174" t="str">
        <f>IFERROR(INDEX('📋 ORDERS'!$Y$4:$Y$675,MATCH(VALUE(A24),IFERROR(VALUE('📋 ORDERS'!$Q$4:$Q$675),0),0)),"")</f>
        <v/>
      </c>
    </row>
    <row r="25" spans="1:10" ht="19.5" customHeight="1" x14ac:dyDescent="0.35">
      <c r="A25" s="175" t="s">
        <v>293</v>
      </c>
      <c r="B25" s="176">
        <f>SUMPRODUCT((IFERROR(VALUE('📋 ORDERS'!$Q$4:$Q$675),0)=VALUE(A25))*1)</f>
        <v>0</v>
      </c>
      <c r="C25" s="177" t="str">
        <f>IFERROR(INDEX('📋 ORDERS'!$D$4:$D$675,MATCH(VALUE(A25),IFERROR(VALUE('📋 ORDERS'!$Q$4:$Q$675),0),0)),"")</f>
        <v/>
      </c>
      <c r="D25" s="177" t="str">
        <f>IF(IFERROR(INDEX('📋 ORDERS'!$E$4:$E$675,MATCH(VALUE(A25),IFERROR(VALUE('📋 ORDERS'!$Q$4:$Q$675),0),0)),0)=0,"",IFERROR(INDEX('📋 ORDERS'!$E$4:$E$675,MATCH(VALUE(A25),IFERROR(VALUE('📋 ORDERS'!$Q$4:$Q$675),0),0)),0))</f>
        <v/>
      </c>
      <c r="E25" s="178">
        <f>SUMPRODUCT((IFERROR(VALUE('📋 ORDERS'!$Q$4:$Q$675),0)=VALUE(A25))*IFERROR('📋 ORDERS'!$P$4:$P$675,0))</f>
        <v>0</v>
      </c>
      <c r="F25" s="177" t="str">
        <f>IFERROR(INDEX('📋 ORDERS'!$R$4:$R$675,MATCH(VALUE(A25),IFERROR(VALUE('📋 ORDERS'!$Q$4:$Q$675),0),0)),"")</f>
        <v/>
      </c>
      <c r="G25" s="177" t="str">
        <f>IFERROR(INDEX('📋 ORDERS'!$S$4:$S$675,MATCH(VALUE(A25),IFERROR(VALUE('📋 ORDERS'!$Q$4:$Q$675),0),0)),"")</f>
        <v/>
      </c>
      <c r="H25" s="179" t="str">
        <f>IFERROR(INDEX('📋 ORDERS'!$W$4:$W$675,MATCH(VALUE(A25),IFERROR(VALUE('📋 ORDERS'!$Q$4:$Q$675),0),0)),"")</f>
        <v/>
      </c>
      <c r="I25" s="177" t="str">
        <f>IFERROR(INDEX('📋 ORDERS'!$Y$4:$Y$675,MATCH(VALUE(A25),IFERROR(VALUE('📋 ORDERS'!$Q$4:$Q$675),0),0)),"")</f>
        <v/>
      </c>
      <c r="J25" s="179" t="str">
        <f>IFERROR(INDEX('📋 ORDERS'!$Y$4:$Y$675,MATCH(VALUE(A25),IFERROR(VALUE('📋 ORDERS'!$Q$4:$Q$675),0),0)),"")</f>
        <v/>
      </c>
    </row>
    <row r="26" spans="1:10" ht="19.5" customHeight="1" x14ac:dyDescent="0.35">
      <c r="A26" s="170" t="s">
        <v>488</v>
      </c>
      <c r="B26" s="171">
        <f>SUMPRODUCT((IFERROR(VALUE('📋 ORDERS'!$Q$4:$Q$675),0)=VALUE(A26))*1)</f>
        <v>0</v>
      </c>
      <c r="C26" s="172" t="str">
        <f>IFERROR(INDEX('📋 ORDERS'!$D$4:$D$675,MATCH(VALUE(A26),IFERROR(VALUE('📋 ORDERS'!$Q$4:$Q$675),0),0)),"")</f>
        <v/>
      </c>
      <c r="D26" s="172" t="str">
        <f>IF(IFERROR(INDEX('📋 ORDERS'!$E$4:$E$675,MATCH(VALUE(A26),IFERROR(VALUE('📋 ORDERS'!$Q$4:$Q$675),0),0)),0)=0,"",IFERROR(INDEX('📋 ORDERS'!$E$4:$E$675,MATCH(VALUE(A26),IFERROR(VALUE('📋 ORDERS'!$Q$4:$Q$675),0),0)),0))</f>
        <v/>
      </c>
      <c r="E26" s="173">
        <f>SUMPRODUCT((IFERROR(VALUE('📋 ORDERS'!$Q$4:$Q$675),0)=VALUE(A26))*IFERROR('📋 ORDERS'!$P$4:$P$675,0))</f>
        <v>0</v>
      </c>
      <c r="F26" s="172" t="str">
        <f>IFERROR(INDEX('📋 ORDERS'!$R$4:$R$675,MATCH(VALUE(A26),IFERROR(VALUE('📋 ORDERS'!$Q$4:$Q$675),0),0)),"")</f>
        <v/>
      </c>
      <c r="G26" s="172" t="str">
        <f>IFERROR(INDEX('📋 ORDERS'!$S$4:$S$675,MATCH(VALUE(A26),IFERROR(VALUE('📋 ORDERS'!$Q$4:$Q$675),0),0)),"")</f>
        <v/>
      </c>
      <c r="H26" s="174" t="str">
        <f>IFERROR(INDEX('📋 ORDERS'!$W$4:$W$675,MATCH(VALUE(A26),IFERROR(VALUE('📋 ORDERS'!$Q$4:$Q$675),0),0)),"")</f>
        <v/>
      </c>
      <c r="I26" s="172" t="str">
        <f>IFERROR(INDEX('📋 ORDERS'!$Y$4:$Y$675,MATCH(VALUE(A26),IFERROR(VALUE('📋 ORDERS'!$Q$4:$Q$675),0),0)),"")</f>
        <v/>
      </c>
      <c r="J26" s="174" t="str">
        <f>IFERROR(INDEX('📋 ORDERS'!$Y$4:$Y$675,MATCH(VALUE(A26),IFERROR(VALUE('📋 ORDERS'!$Q$4:$Q$675),0),0)),"")</f>
        <v/>
      </c>
    </row>
    <row r="27" spans="1:10" ht="19.5" customHeight="1" x14ac:dyDescent="0.35">
      <c r="A27" s="175" t="s">
        <v>489</v>
      </c>
      <c r="B27" s="176">
        <f>SUMPRODUCT((IFERROR(VALUE('📋 ORDERS'!$Q$4:$Q$675),0)=VALUE(A27))*1)</f>
        <v>0</v>
      </c>
      <c r="C27" s="177" t="str">
        <f>IFERROR(INDEX('📋 ORDERS'!$D$4:$D$675,MATCH(VALUE(A27),IFERROR(VALUE('📋 ORDERS'!$Q$4:$Q$675),0),0)),"")</f>
        <v/>
      </c>
      <c r="D27" s="177" t="str">
        <f>IF(IFERROR(INDEX('📋 ORDERS'!$E$4:$E$675,MATCH(VALUE(A27),IFERROR(VALUE('📋 ORDERS'!$Q$4:$Q$675),0),0)),0)=0,"",IFERROR(INDEX('📋 ORDERS'!$E$4:$E$675,MATCH(VALUE(A27),IFERROR(VALUE('📋 ORDERS'!$Q$4:$Q$675),0),0)),0))</f>
        <v/>
      </c>
      <c r="E27" s="178">
        <f>SUMPRODUCT((IFERROR(VALUE('📋 ORDERS'!$Q$4:$Q$675),0)=VALUE(A27))*IFERROR('📋 ORDERS'!$P$4:$P$675,0))</f>
        <v>0</v>
      </c>
      <c r="F27" s="177" t="str">
        <f>IFERROR(INDEX('📋 ORDERS'!$R$4:$R$675,MATCH(VALUE(A27),IFERROR(VALUE('📋 ORDERS'!$Q$4:$Q$675),0),0)),"")</f>
        <v/>
      </c>
      <c r="G27" s="177" t="str">
        <f>IFERROR(INDEX('📋 ORDERS'!$S$4:$S$675,MATCH(VALUE(A27),IFERROR(VALUE('📋 ORDERS'!$Q$4:$Q$675),0),0)),"")</f>
        <v/>
      </c>
      <c r="H27" s="179" t="str">
        <f>IFERROR(INDEX('📋 ORDERS'!$W$4:$W$675,MATCH(VALUE(A27),IFERROR(VALUE('📋 ORDERS'!$Q$4:$Q$675),0),0)),"")</f>
        <v/>
      </c>
      <c r="I27" s="177" t="str">
        <f>IFERROR(INDEX('📋 ORDERS'!$Y$4:$Y$675,MATCH(VALUE(A27),IFERROR(VALUE('📋 ORDERS'!$Q$4:$Q$675),0),0)),"")</f>
        <v/>
      </c>
      <c r="J27" s="179" t="str">
        <f>IFERROR(INDEX('📋 ORDERS'!$Y$4:$Y$675,MATCH(VALUE(A27),IFERROR(VALUE('📋 ORDERS'!$Q$4:$Q$675),0),0)),"")</f>
        <v/>
      </c>
    </row>
    <row r="28" spans="1:10" ht="19.5" customHeight="1" x14ac:dyDescent="0.35">
      <c r="A28" s="276"/>
      <c r="B28" s="276"/>
      <c r="C28" s="276"/>
      <c r="D28" s="276"/>
      <c r="E28" s="181" t="str">
        <f>IF(A28="","",SUMPRODUCT((IFERROR(VALUE('📋 ORDERS'!$Q$4:$Q$675),0)=VALUE(A28))*IFERROR('📋 ORDERS'!$P$4:$P$675,0)))</f>
        <v/>
      </c>
      <c r="F28" s="182" t="str">
        <f>IF(A28="","",IFERROR(INDEX('📋 ORDERS'!$R$4:$R$675,MATCH(VALUE(A28),IFERROR(VALUE('📋 ORDERS'!$Q$4:$Q$675),0),0)),""))</f>
        <v/>
      </c>
      <c r="G28" s="182" t="str">
        <f>IF(A28="","",IFERROR(INDEX('📋 ORDERS'!$S$4:$S$675,MATCH(VALUE(A28),IFERROR(VALUE('📋 ORDERS'!$Q$4:$Q$675),0),0)),""))</f>
        <v/>
      </c>
      <c r="H28" s="183" t="str">
        <f>IF(A28="","",IFERROR(INDEX('📋 ORDERS'!$W$4:$W$675,MATCH(VALUE(A28),IFERROR(VALUE('📋 ORDERS'!$Q$4:$Q$675),0),0)),""))</f>
        <v/>
      </c>
      <c r="I28" s="182" t="str">
        <f>IF(A28="","",IFERROR(INDEX('📋 ORDERS'!$Y$4:$Y$675,MATCH(VALUE(A28),IFERROR(VALUE('📋 ORDERS'!$Q$4:$Q$675),0),0)),""))</f>
        <v/>
      </c>
      <c r="J28" s="183" t="str">
        <f>IF(A28="","",IFERROR(INDEX('📋 ORDERS'!$Y$4:$Y$675,MATCH(VALUE(A28),IFERROR(VALUE('📋 ORDERS'!$Q$4:$Q$675),0),0)),""))</f>
        <v/>
      </c>
    </row>
    <row r="29" spans="1:10" ht="19.5" customHeight="1" x14ac:dyDescent="0.35">
      <c r="A29" s="184"/>
      <c r="B29" s="185" t="str">
        <f>IF(A29="","",SUMPRODUCT((IFERROR(VALUE('📋 ORDERS'!$Q$4:$Q$675),0)=VALUE(A29))*1))</f>
        <v/>
      </c>
      <c r="C29" s="185" t="str">
        <f>IF(A29="","",IFERROR(INDEX('📋 ORDERS'!$D$4:$D$675,MATCH(VALUE(A29),IFERROR(VALUE('📋 ORDERS'!$Q$4:$Q$675),0),0)),""))</f>
        <v/>
      </c>
      <c r="D29" s="185" t="str">
        <f>IF(A29="","",IFERROR(INDEX('📋 ORDERS'!$E$4:$E$675,MATCH(VALUE(A29),IFERROR(VALUE('📋 ORDERS'!$Q$4:$Q$675),0),0)),""))</f>
        <v/>
      </c>
      <c r="E29" s="186" t="str">
        <f>IF(A29="","",SUMPRODUCT((IFERROR(VALUE('📋 ORDERS'!$Q$4:$Q$675),0)=VALUE(A29))*IFERROR('📋 ORDERS'!$P$4:$P$675,0)))</f>
        <v/>
      </c>
      <c r="F29" s="185" t="str">
        <f>IF(A29="","",IFERROR(INDEX('📋 ORDERS'!$R$4:$R$675,MATCH(VALUE(A29),IFERROR(VALUE('📋 ORDERS'!$Q$4:$Q$675),0),0)),""))</f>
        <v/>
      </c>
      <c r="G29" s="185" t="str">
        <f>IF(A29="","",IFERROR(INDEX('📋 ORDERS'!$S$4:$S$675,MATCH(VALUE(A29),IFERROR(VALUE('📋 ORDERS'!$Q$4:$Q$675),0),0)),""))</f>
        <v/>
      </c>
      <c r="H29" s="187" t="str">
        <f>IF(A29="","",IFERROR(INDEX('📋 ORDERS'!$W$4:$W$675,MATCH(VALUE(A29),IFERROR(VALUE('📋 ORDERS'!$Q$4:$Q$675),0),0)),""))</f>
        <v/>
      </c>
      <c r="I29" s="185" t="str">
        <f>IF(A29="","",IFERROR(INDEX('📋 ORDERS'!$Y$4:$Y$675,MATCH(VALUE(A29),IFERROR(VALUE('📋 ORDERS'!$Q$4:$Q$675),0),0)),""))</f>
        <v/>
      </c>
      <c r="J29" s="187" t="str">
        <f>IF(A29="","",IFERROR(INDEX('📋 ORDERS'!$Y$4:$Y$675,MATCH(VALUE(A29),IFERROR(VALUE('📋 ORDERS'!$Q$4:$Q$675),0),0)),""))</f>
        <v/>
      </c>
    </row>
    <row r="30" spans="1:10" ht="19.5" customHeight="1" x14ac:dyDescent="0.35">
      <c r="A30" s="180"/>
      <c r="B30" s="182" t="str">
        <f>IF(A30="","",SUMPRODUCT((IFERROR(VALUE('📋 ORDERS'!$Q$4:$Q$675),0)=VALUE(A30))*1))</f>
        <v/>
      </c>
      <c r="C30" s="182" t="str">
        <f>IF(A30="","",IFERROR(INDEX('📋 ORDERS'!$D$4:$D$675,MATCH(VALUE(A30),IFERROR(VALUE('📋 ORDERS'!$Q$4:$Q$675),0),0)),""))</f>
        <v/>
      </c>
      <c r="D30" s="182" t="str">
        <f>IF(A30="","",IFERROR(INDEX('📋 ORDERS'!$E$4:$E$675,MATCH(VALUE(A30),IFERROR(VALUE('📋 ORDERS'!$Q$4:$Q$675),0),0)),""))</f>
        <v/>
      </c>
      <c r="E30" s="181" t="str">
        <f>IF(A30="","",SUMPRODUCT((IFERROR(VALUE('📋 ORDERS'!$Q$4:$Q$675),0)=VALUE(A30))*IFERROR('📋 ORDERS'!$P$4:$P$675,0)))</f>
        <v/>
      </c>
      <c r="F30" s="182" t="str">
        <f>IF(A30="","",IFERROR(INDEX('📋 ORDERS'!$R$4:$R$675,MATCH(VALUE(A30),IFERROR(VALUE('📋 ORDERS'!$Q$4:$Q$675),0),0)),""))</f>
        <v/>
      </c>
      <c r="G30" s="182" t="str">
        <f>IF(A30="","",IFERROR(INDEX('📋 ORDERS'!$S$4:$S$675,MATCH(VALUE(A30),IFERROR(VALUE('📋 ORDERS'!$Q$4:$Q$675),0),0)),""))</f>
        <v/>
      </c>
      <c r="H30" s="183" t="str">
        <f>IF(A30="","",IFERROR(INDEX('📋 ORDERS'!$W$4:$W$675,MATCH(VALUE(A30),IFERROR(VALUE('📋 ORDERS'!$Q$4:$Q$675),0),0)),""))</f>
        <v/>
      </c>
      <c r="I30" s="182" t="str">
        <f>IF(A30="","",IFERROR(INDEX('📋 ORDERS'!$Y$4:$Y$675,MATCH(VALUE(A30),IFERROR(VALUE('📋 ORDERS'!$Q$4:$Q$675),0),0)),""))</f>
        <v/>
      </c>
      <c r="J30" s="183" t="str">
        <f>IF(A30="","",IFERROR(INDEX('📋 ORDERS'!$Y$4:$Y$675,MATCH(VALUE(A30),IFERROR(VALUE('📋 ORDERS'!$Q$4:$Q$675),0),0)),""))</f>
        <v/>
      </c>
    </row>
    <row r="31" spans="1:10" ht="19.5" customHeight="1" x14ac:dyDescent="0.35">
      <c r="A31" s="184"/>
      <c r="B31" s="185" t="str">
        <f>IF(A31="","",SUMPRODUCT((IFERROR(VALUE('📋 ORDERS'!$Q$4:$Q$675),0)=VALUE(A31))*1))</f>
        <v/>
      </c>
      <c r="C31" s="185" t="str">
        <f>IF(A31="","",IFERROR(INDEX('📋 ORDERS'!$D$4:$D$675,MATCH(VALUE(A31),IFERROR(VALUE('📋 ORDERS'!$Q$4:$Q$675),0),0)),""))</f>
        <v/>
      </c>
      <c r="D31" s="185" t="str">
        <f>IF(A31="","",IFERROR(INDEX('📋 ORDERS'!$E$4:$E$675,MATCH(VALUE(A31),IFERROR(VALUE('📋 ORDERS'!$Q$4:$Q$675),0),0)),""))</f>
        <v/>
      </c>
      <c r="E31" s="186" t="str">
        <f>IF(A31="","",SUMPRODUCT((IFERROR(VALUE('📋 ORDERS'!$Q$4:$Q$675),0)=VALUE(A31))*IFERROR('📋 ORDERS'!$P$4:$P$675,0)))</f>
        <v/>
      </c>
      <c r="F31" s="185" t="str">
        <f>IF(A31="","",IFERROR(INDEX('📋 ORDERS'!$R$4:$R$675,MATCH(VALUE(A31),IFERROR(VALUE('📋 ORDERS'!$Q$4:$Q$675),0),0)),""))</f>
        <v/>
      </c>
      <c r="G31" s="185" t="str">
        <f>IF(A31="","",IFERROR(INDEX('📋 ORDERS'!$S$4:$S$675,MATCH(VALUE(A31),IFERROR(VALUE('📋 ORDERS'!$Q$4:$Q$675),0),0)),""))</f>
        <v/>
      </c>
      <c r="H31" s="187" t="str">
        <f>IF(A31="","",IFERROR(INDEX('📋 ORDERS'!$W$4:$W$675,MATCH(VALUE(A31),IFERROR(VALUE('📋 ORDERS'!$Q$4:$Q$675),0),0)),""))</f>
        <v/>
      </c>
      <c r="I31" s="185" t="str">
        <f>IF(A31="","",IFERROR(INDEX('📋 ORDERS'!$Y$4:$Y$675,MATCH(VALUE(A31),IFERROR(VALUE('📋 ORDERS'!$Q$4:$Q$675),0),0)),""))</f>
        <v/>
      </c>
      <c r="J31" s="187" t="str">
        <f>IF(A31="","",IFERROR(INDEX('📋 ORDERS'!$Y$4:$Y$675,MATCH(VALUE(A31),IFERROR(VALUE('📋 ORDERS'!$Q$4:$Q$675),0),0)),""))</f>
        <v/>
      </c>
    </row>
    <row r="32" spans="1:10" ht="19.5" customHeight="1" x14ac:dyDescent="0.35">
      <c r="A32" s="180"/>
      <c r="B32" s="182" t="str">
        <f>IF(A32="","",SUMPRODUCT((IFERROR(VALUE('📋 ORDERS'!$Q$4:$Q$675),0)=VALUE(A32))*1))</f>
        <v/>
      </c>
      <c r="C32" s="182" t="str">
        <f>IF(A32="","",IFERROR(INDEX('📋 ORDERS'!$D$4:$D$675,MATCH(VALUE(A32),IFERROR(VALUE('📋 ORDERS'!$Q$4:$Q$675),0),0)),""))</f>
        <v/>
      </c>
      <c r="D32" s="182" t="str">
        <f>IF(A32="","",IFERROR(INDEX('📋 ORDERS'!$E$4:$E$675,MATCH(VALUE(A32),IFERROR(VALUE('📋 ORDERS'!$Q$4:$Q$675),0),0)),""))</f>
        <v/>
      </c>
      <c r="E32" s="181" t="str">
        <f>IF(A32="","",SUMPRODUCT((IFERROR(VALUE('📋 ORDERS'!$Q$4:$Q$675),0)=VALUE(A32))*IFERROR('📋 ORDERS'!$P$4:$P$675,0)))</f>
        <v/>
      </c>
      <c r="F32" s="182" t="str">
        <f>IF(A32="","",IFERROR(INDEX('📋 ORDERS'!$R$4:$R$675,MATCH(VALUE(A32),IFERROR(VALUE('📋 ORDERS'!$Q$4:$Q$675),0),0)),""))</f>
        <v/>
      </c>
      <c r="G32" s="182" t="str">
        <f>IF(A32="","",IFERROR(INDEX('📋 ORDERS'!$S$4:$S$675,MATCH(VALUE(A32),IFERROR(VALUE('📋 ORDERS'!$Q$4:$Q$675),0),0)),""))</f>
        <v/>
      </c>
      <c r="H32" s="183" t="str">
        <f>IF(A32="","",IFERROR(INDEX('📋 ORDERS'!$W$4:$W$675,MATCH(VALUE(A32),IFERROR(VALUE('📋 ORDERS'!$Q$4:$Q$675),0),0)),""))</f>
        <v/>
      </c>
      <c r="I32" s="182" t="str">
        <f>IF(A32="","",IFERROR(INDEX('📋 ORDERS'!$Y$4:$Y$675,MATCH(VALUE(A32),IFERROR(VALUE('📋 ORDERS'!$Q$4:$Q$675),0),0)),""))</f>
        <v/>
      </c>
      <c r="J32" s="183" t="str">
        <f>IF(A32="","",IFERROR(INDEX('📋 ORDERS'!$Y$4:$Y$675,MATCH(VALUE(A32),IFERROR(VALUE('📋 ORDERS'!$Q$4:$Q$675),0),0)),""))</f>
        <v/>
      </c>
    </row>
    <row r="33" spans="1:10" ht="19.5" customHeight="1" x14ac:dyDescent="0.35">
      <c r="A33" s="184"/>
      <c r="B33" s="185" t="str">
        <f>IF(A33="","",SUMPRODUCT((IFERROR(VALUE('📋 ORDERS'!$Q$4:$Q$675),0)=VALUE(A33))*1))</f>
        <v/>
      </c>
      <c r="C33" s="185" t="str">
        <f>IF(A33="","",IFERROR(INDEX('📋 ORDERS'!$D$4:$D$675,MATCH(VALUE(A33),IFERROR(VALUE('📋 ORDERS'!$Q$4:$Q$675),0),0)),""))</f>
        <v/>
      </c>
      <c r="D33" s="185" t="str">
        <f>IF(A33="","",IFERROR(INDEX('📋 ORDERS'!$E$4:$E$675,MATCH(VALUE(A33),IFERROR(VALUE('📋 ORDERS'!$Q$4:$Q$675),0),0)),""))</f>
        <v/>
      </c>
      <c r="E33" s="186" t="str">
        <f>IF(A33="","",SUMPRODUCT((IFERROR(VALUE('📋 ORDERS'!$Q$4:$Q$675),0)=VALUE(A33))*IFERROR('📋 ORDERS'!$P$4:$P$675,0)))</f>
        <v/>
      </c>
      <c r="F33" s="185" t="str">
        <f>IF(A33="","",IFERROR(INDEX('📋 ORDERS'!$R$4:$R$675,MATCH(VALUE(A33),IFERROR(VALUE('📋 ORDERS'!$Q$4:$Q$675),0),0)),""))</f>
        <v/>
      </c>
      <c r="G33" s="185" t="str">
        <f>IF(A33="","",IFERROR(INDEX('📋 ORDERS'!$S$4:$S$675,MATCH(VALUE(A33),IFERROR(VALUE('📋 ORDERS'!$Q$4:$Q$675),0),0)),""))</f>
        <v/>
      </c>
      <c r="H33" s="187" t="str">
        <f>IF(A33="","",IFERROR(INDEX('📋 ORDERS'!$W$4:$W$675,MATCH(VALUE(A33),IFERROR(VALUE('📋 ORDERS'!$Q$4:$Q$675),0),0)),""))</f>
        <v/>
      </c>
      <c r="I33" s="185" t="str">
        <f>IF(A33="","",IFERROR(INDEX('📋 ORDERS'!$Y$4:$Y$675,MATCH(VALUE(A33),IFERROR(VALUE('📋 ORDERS'!$Q$4:$Q$675),0),0)),""))</f>
        <v/>
      </c>
      <c r="J33" s="187" t="str">
        <f>IF(A33="","",IFERROR(INDEX('📋 ORDERS'!$Y$4:$Y$675,MATCH(VALUE(A33),IFERROR(VALUE('📋 ORDERS'!$Q$4:$Q$675),0),0)),""))</f>
        <v/>
      </c>
    </row>
    <row r="34" spans="1:10" ht="19.5" customHeight="1" x14ac:dyDescent="0.35">
      <c r="A34" s="180"/>
      <c r="B34" s="182" t="str">
        <f>IF(A34="","",SUMPRODUCT((IFERROR(VALUE('📋 ORDERS'!$Q$4:$Q$675),0)=VALUE(A34))*1))</f>
        <v/>
      </c>
      <c r="C34" s="182" t="str">
        <f>IF(A34="","",IFERROR(INDEX('📋 ORDERS'!$D$4:$D$675,MATCH(VALUE(A34),IFERROR(VALUE('📋 ORDERS'!$Q$4:$Q$675),0),0)),""))</f>
        <v/>
      </c>
      <c r="D34" s="182" t="str">
        <f>IF(A34="","",IFERROR(INDEX('📋 ORDERS'!$E$4:$E$675,MATCH(VALUE(A34),IFERROR(VALUE('📋 ORDERS'!$Q$4:$Q$675),0),0)),""))</f>
        <v/>
      </c>
      <c r="E34" s="181" t="str">
        <f>IF(A34="","",SUMPRODUCT((IFERROR(VALUE('📋 ORDERS'!$Q$4:$Q$675),0)=VALUE(A34))*IFERROR('📋 ORDERS'!$P$4:$P$675,0)))</f>
        <v/>
      </c>
      <c r="F34" s="182" t="str">
        <f>IF(A34="","",IFERROR(INDEX('📋 ORDERS'!$R$4:$R$675,MATCH(VALUE(A34),IFERROR(VALUE('📋 ORDERS'!$Q$4:$Q$675),0),0)),""))</f>
        <v/>
      </c>
      <c r="G34" s="182" t="str">
        <f>IF(A34="","",IFERROR(INDEX('📋 ORDERS'!$S$4:$S$675,MATCH(VALUE(A34),IFERROR(VALUE('📋 ORDERS'!$Q$4:$Q$675),0),0)),""))</f>
        <v/>
      </c>
      <c r="H34" s="183" t="str">
        <f>IF(A34="","",IFERROR(INDEX('📋 ORDERS'!$W$4:$W$675,MATCH(VALUE(A34),IFERROR(VALUE('📋 ORDERS'!$Q$4:$Q$675),0),0)),""))</f>
        <v/>
      </c>
      <c r="I34" s="182" t="str">
        <f>IF(A34="","",IFERROR(INDEX('📋 ORDERS'!$Y$4:$Y$675,MATCH(VALUE(A34),IFERROR(VALUE('📋 ORDERS'!$Q$4:$Q$675),0),0)),""))</f>
        <v/>
      </c>
      <c r="J34" s="183" t="str">
        <f>IF(A34="","",IFERROR(INDEX('📋 ORDERS'!$Y$4:$Y$675,MATCH(VALUE(A34),IFERROR(VALUE('📋 ORDERS'!$Q$4:$Q$675),0),0)),""))</f>
        <v/>
      </c>
    </row>
    <row r="35" spans="1:10" ht="19.5" customHeight="1" x14ac:dyDescent="0.35">
      <c r="A35" s="184"/>
      <c r="B35" s="185" t="str">
        <f>IF(A35="","",SUMPRODUCT((IFERROR(VALUE('📋 ORDERS'!$Q$4:$Q$675),0)=VALUE(A35))*1))</f>
        <v/>
      </c>
      <c r="C35" s="185" t="str">
        <f>IF(A35="","",IFERROR(INDEX('📋 ORDERS'!$D$4:$D$675,MATCH(VALUE(A35),IFERROR(VALUE('📋 ORDERS'!$Q$4:$Q$675),0),0)),""))</f>
        <v/>
      </c>
      <c r="D35" s="185" t="str">
        <f>IF(A35="","",IFERROR(INDEX('📋 ORDERS'!$E$4:$E$675,MATCH(VALUE(A35),IFERROR(VALUE('📋 ORDERS'!$Q$4:$Q$675),0),0)),""))</f>
        <v/>
      </c>
      <c r="E35" s="186" t="str">
        <f>IF(A35="","",SUMPRODUCT((IFERROR(VALUE('📋 ORDERS'!$Q$4:$Q$675),0)=VALUE(A35))*IFERROR('📋 ORDERS'!$P$4:$P$675,0)))</f>
        <v/>
      </c>
      <c r="F35" s="185" t="str">
        <f>IF(A35="","",IFERROR(INDEX('📋 ORDERS'!$R$4:$R$675,MATCH(VALUE(A35),IFERROR(VALUE('📋 ORDERS'!$Q$4:$Q$675),0),0)),""))</f>
        <v/>
      </c>
      <c r="G35" s="185" t="str">
        <f>IF(A35="","",IFERROR(INDEX('📋 ORDERS'!$S$4:$S$675,MATCH(VALUE(A35),IFERROR(VALUE('📋 ORDERS'!$Q$4:$Q$675),0),0)),""))</f>
        <v/>
      </c>
      <c r="H35" s="187" t="str">
        <f>IF(A35="","",IFERROR(INDEX('📋 ORDERS'!$W$4:$W$675,MATCH(VALUE(A35),IFERROR(VALUE('📋 ORDERS'!$Q$4:$Q$675),0),0)),""))</f>
        <v/>
      </c>
      <c r="I35" s="185" t="str">
        <f>IF(A35="","",IFERROR(INDEX('📋 ORDERS'!$Y$4:$Y$675,MATCH(VALUE(A35),IFERROR(VALUE('📋 ORDERS'!$Q$4:$Q$675),0),0)),""))</f>
        <v/>
      </c>
      <c r="J35" s="187" t="str">
        <f>IF(A35="","",IFERROR(INDEX('📋 ORDERS'!$Y$4:$Y$675,MATCH(VALUE(A35),IFERROR(VALUE('📋 ORDERS'!$Q$4:$Q$675),0),0)),""))</f>
        <v/>
      </c>
    </row>
    <row r="36" spans="1:10" ht="19.5" customHeight="1" x14ac:dyDescent="0.35">
      <c r="A36" s="180"/>
      <c r="B36" s="182" t="str">
        <f>IF(A36="","",SUMPRODUCT((IFERROR(VALUE('📋 ORDERS'!$Q$4:$Q$675),0)=VALUE(A36))*1))</f>
        <v/>
      </c>
      <c r="C36" s="182" t="str">
        <f>IF(A36="","",IFERROR(INDEX('📋 ORDERS'!$D$4:$D$675,MATCH(VALUE(A36),IFERROR(VALUE('📋 ORDERS'!$Q$4:$Q$675),0),0)),""))</f>
        <v/>
      </c>
      <c r="D36" s="182" t="str">
        <f>IF(A36="","",IFERROR(INDEX('📋 ORDERS'!$E$4:$E$675,MATCH(VALUE(A36),IFERROR(VALUE('📋 ORDERS'!$Q$4:$Q$675),0),0)),""))</f>
        <v/>
      </c>
      <c r="E36" s="181" t="str">
        <f>IF(A36="","",SUMPRODUCT((IFERROR(VALUE('📋 ORDERS'!$Q$4:$Q$675),0)=VALUE(A36))*IFERROR('📋 ORDERS'!$P$4:$P$675,0)))</f>
        <v/>
      </c>
      <c r="F36" s="182" t="str">
        <f>IF(A36="","",IFERROR(INDEX('📋 ORDERS'!$R$4:$R$675,MATCH(VALUE(A36),IFERROR(VALUE('📋 ORDERS'!$Q$4:$Q$675),0),0)),""))</f>
        <v/>
      </c>
      <c r="G36" s="182" t="str">
        <f>IF(A36="","",IFERROR(INDEX('📋 ORDERS'!$S$4:$S$675,MATCH(VALUE(A36),IFERROR(VALUE('📋 ORDERS'!$Q$4:$Q$675),0),0)),""))</f>
        <v/>
      </c>
      <c r="H36" s="183" t="str">
        <f>IF(A36="","",IFERROR(INDEX('📋 ORDERS'!$W$4:$W$675,MATCH(VALUE(A36),IFERROR(VALUE('📋 ORDERS'!$Q$4:$Q$675),0),0)),""))</f>
        <v/>
      </c>
      <c r="I36" s="182" t="str">
        <f>IF(A36="","",IFERROR(INDEX('📋 ORDERS'!$Y$4:$Y$675,MATCH(VALUE(A36),IFERROR(VALUE('📋 ORDERS'!$Q$4:$Q$675),0),0)),""))</f>
        <v/>
      </c>
      <c r="J36" s="183" t="str">
        <f>IF(A36="","",IFERROR(INDEX('📋 ORDERS'!$Y$4:$Y$675,MATCH(VALUE(A36),IFERROR(VALUE('📋 ORDERS'!$Q$4:$Q$675),0),0)),""))</f>
        <v/>
      </c>
    </row>
    <row r="37" spans="1:10" ht="19.5" customHeight="1" x14ac:dyDescent="0.35">
      <c r="A37" s="184"/>
      <c r="B37" s="185" t="str">
        <f>IF(A37="","",SUMPRODUCT((IFERROR(VALUE('📋 ORDERS'!$Q$4:$Q$675),0)=VALUE(A37))*1))</f>
        <v/>
      </c>
      <c r="C37" s="185" t="str">
        <f>IF(A37="","",IFERROR(INDEX('📋 ORDERS'!$D$4:$D$675,MATCH(VALUE(A37),IFERROR(VALUE('📋 ORDERS'!$Q$4:$Q$675),0),0)),""))</f>
        <v/>
      </c>
      <c r="D37" s="185" t="str">
        <f>IF(A37="","",IFERROR(INDEX('📋 ORDERS'!$E$4:$E$675,MATCH(VALUE(A37),IFERROR(VALUE('📋 ORDERS'!$Q$4:$Q$675),0),0)),""))</f>
        <v/>
      </c>
      <c r="E37" s="186" t="str">
        <f>IF(A37="","",SUMPRODUCT((IFERROR(VALUE('📋 ORDERS'!$Q$4:$Q$675),0)=VALUE(A37))*IFERROR('📋 ORDERS'!$P$4:$P$675,0)))</f>
        <v/>
      </c>
      <c r="F37" s="185" t="str">
        <f>IF(A37="","",IFERROR(INDEX('📋 ORDERS'!$R$4:$R$675,MATCH(VALUE(A37),IFERROR(VALUE('📋 ORDERS'!$Q$4:$Q$675),0),0)),""))</f>
        <v/>
      </c>
      <c r="G37" s="185" t="str">
        <f>IF(A37="","",IFERROR(INDEX('📋 ORDERS'!$S$4:$S$675,MATCH(VALUE(A37),IFERROR(VALUE('📋 ORDERS'!$Q$4:$Q$675),0),0)),""))</f>
        <v/>
      </c>
      <c r="H37" s="187" t="str">
        <f>IF(A37="","",IFERROR(INDEX('📋 ORDERS'!$W$4:$W$675,MATCH(VALUE(A37),IFERROR(VALUE('📋 ORDERS'!$Q$4:$Q$675),0),0)),""))</f>
        <v/>
      </c>
      <c r="I37" s="185" t="str">
        <f>IF(A37="","",IFERROR(INDEX('📋 ORDERS'!$Y$4:$Y$675,MATCH(VALUE(A37),IFERROR(VALUE('📋 ORDERS'!$Q$4:$Q$675),0),0)),""))</f>
        <v/>
      </c>
      <c r="J37" s="187" t="str">
        <f>IF(A37="","",IFERROR(INDEX('📋 ORDERS'!$Y$4:$Y$675,MATCH(VALUE(A37),IFERROR(VALUE('📋 ORDERS'!$Q$4:$Q$675),0),0)),""))</f>
        <v/>
      </c>
    </row>
    <row r="38" spans="1:10" ht="19.5" customHeight="1" x14ac:dyDescent="0.35">
      <c r="A38" s="180"/>
      <c r="B38" s="182" t="str">
        <f>IF(A38="","",SUMPRODUCT((IFERROR(VALUE('📋 ORDERS'!$Q$4:$Q$675),0)=VALUE(A38))*1))</f>
        <v/>
      </c>
      <c r="C38" s="182" t="str">
        <f>IF(A38="","",IFERROR(INDEX('📋 ORDERS'!$D$4:$D$675,MATCH(VALUE(A38),IFERROR(VALUE('📋 ORDERS'!$Q$4:$Q$675),0),0)),""))</f>
        <v/>
      </c>
      <c r="D38" s="182" t="str">
        <f>IF(A38="","",IFERROR(INDEX('📋 ORDERS'!$E$4:$E$675,MATCH(VALUE(A38),IFERROR(VALUE('📋 ORDERS'!$Q$4:$Q$675),0),0)),""))</f>
        <v/>
      </c>
      <c r="E38" s="181" t="str">
        <f>IF(A38="","",SUMPRODUCT((IFERROR(VALUE('📋 ORDERS'!$Q$4:$Q$675),0)=VALUE(A38))*IFERROR('📋 ORDERS'!$P$4:$P$675,0)))</f>
        <v/>
      </c>
      <c r="F38" s="182" t="str">
        <f>IF(A38="","",IFERROR(INDEX('📋 ORDERS'!$R$4:$R$675,MATCH(VALUE(A38),IFERROR(VALUE('📋 ORDERS'!$Q$4:$Q$675),0),0)),""))</f>
        <v/>
      </c>
      <c r="G38" s="182" t="str">
        <f>IF(A38="","",IFERROR(INDEX('📋 ORDERS'!$S$4:$S$675,MATCH(VALUE(A38),IFERROR(VALUE('📋 ORDERS'!$Q$4:$Q$675),0),0)),""))</f>
        <v/>
      </c>
      <c r="H38" s="183" t="str">
        <f>IF(A38="","",IFERROR(INDEX('📋 ORDERS'!$W$4:$W$675,MATCH(VALUE(A38),IFERROR(VALUE('📋 ORDERS'!$Q$4:$Q$675),0),0)),""))</f>
        <v/>
      </c>
      <c r="I38" s="182" t="str">
        <f>IF(A38="","",IFERROR(INDEX('📋 ORDERS'!$Y$4:$Y$675,MATCH(VALUE(A38),IFERROR(VALUE('📋 ORDERS'!$Q$4:$Q$675),0),0)),""))</f>
        <v/>
      </c>
      <c r="J38" s="183" t="str">
        <f>IF(A38="","",IFERROR(INDEX('📋 ORDERS'!$Y$4:$Y$675,MATCH(VALUE(A38),IFERROR(VALUE('📋 ORDERS'!$Q$4:$Q$675),0),0)),""))</f>
        <v/>
      </c>
    </row>
    <row r="39" spans="1:10" ht="19.5" customHeight="1" x14ac:dyDescent="0.35">
      <c r="A39" s="184"/>
      <c r="B39" s="185" t="str">
        <f>IF(A39="","",SUMPRODUCT((IFERROR(VALUE('📋 ORDERS'!$Q$4:$Q$675),0)=VALUE(A39))*1))</f>
        <v/>
      </c>
      <c r="C39" s="185" t="str">
        <f>IF(A39="","",IFERROR(INDEX('📋 ORDERS'!$D$4:$D$675,MATCH(VALUE(A39),IFERROR(VALUE('📋 ORDERS'!$Q$4:$Q$675),0),0)),""))</f>
        <v/>
      </c>
      <c r="D39" s="185" t="str">
        <f>IF(A39="","",IFERROR(INDEX('📋 ORDERS'!$E$4:$E$675,MATCH(VALUE(A39),IFERROR(VALUE('📋 ORDERS'!$Q$4:$Q$675),0),0)),""))</f>
        <v/>
      </c>
      <c r="E39" s="186" t="str">
        <f>IF(A39="","",SUMPRODUCT((IFERROR(VALUE('📋 ORDERS'!$Q$4:$Q$675),0)=VALUE(A39))*IFERROR('📋 ORDERS'!$P$4:$P$675,0)))</f>
        <v/>
      </c>
      <c r="F39" s="185" t="str">
        <f>IF(A39="","",IFERROR(INDEX('📋 ORDERS'!$R$4:$R$675,MATCH(VALUE(A39),IFERROR(VALUE('📋 ORDERS'!$Q$4:$Q$675),0),0)),""))</f>
        <v/>
      </c>
      <c r="G39" s="185" t="str">
        <f>IF(A39="","",IFERROR(INDEX('📋 ORDERS'!$S$4:$S$675,MATCH(VALUE(A39),IFERROR(VALUE('📋 ORDERS'!$Q$4:$Q$675),0),0)),""))</f>
        <v/>
      </c>
      <c r="H39" s="187" t="str">
        <f>IF(A39="","",IFERROR(INDEX('📋 ORDERS'!$W$4:$W$675,MATCH(VALUE(A39),IFERROR(VALUE('📋 ORDERS'!$Q$4:$Q$675),0),0)),""))</f>
        <v/>
      </c>
      <c r="I39" s="185" t="str">
        <f>IF(A39="","",IFERROR(INDEX('📋 ORDERS'!$Y$4:$Y$675,MATCH(VALUE(A39),IFERROR(VALUE('📋 ORDERS'!$Q$4:$Q$675),0),0)),""))</f>
        <v/>
      </c>
      <c r="J39" s="187" t="str">
        <f>IF(A39="","",IFERROR(INDEX('📋 ORDERS'!$Y$4:$Y$675,MATCH(VALUE(A39),IFERROR(VALUE('📋 ORDERS'!$Q$4:$Q$675),0),0)),""))</f>
        <v/>
      </c>
    </row>
    <row r="40" spans="1:10" ht="19.5" customHeight="1" x14ac:dyDescent="0.35">
      <c r="A40" s="180"/>
      <c r="B40" s="182" t="str">
        <f>IF(A40="","",SUMPRODUCT((IFERROR(VALUE('📋 ORDERS'!$Q$4:$Q$675),0)=VALUE(A40))*1))</f>
        <v/>
      </c>
      <c r="C40" s="182" t="str">
        <f>IF(A40="","",IFERROR(INDEX('📋 ORDERS'!$D$4:$D$675,MATCH(VALUE(A40),IFERROR(VALUE('📋 ORDERS'!$Q$4:$Q$675),0),0)),""))</f>
        <v/>
      </c>
      <c r="D40" s="182" t="str">
        <f>IF(A40="","",IFERROR(INDEX('📋 ORDERS'!$E$4:$E$675,MATCH(VALUE(A40),IFERROR(VALUE('📋 ORDERS'!$Q$4:$Q$675),0),0)),""))</f>
        <v/>
      </c>
      <c r="E40" s="181" t="str">
        <f>IF(A40="","",SUMPRODUCT((IFERROR(VALUE('📋 ORDERS'!$Q$4:$Q$675),0)=VALUE(A40))*IFERROR('📋 ORDERS'!$P$4:$P$675,0)))</f>
        <v/>
      </c>
      <c r="F40" s="182" t="str">
        <f>IF(A40="","",IFERROR(INDEX('📋 ORDERS'!$R$4:$R$675,MATCH(VALUE(A40),IFERROR(VALUE('📋 ORDERS'!$Q$4:$Q$675),0),0)),""))</f>
        <v/>
      </c>
      <c r="G40" s="182" t="str">
        <f>IF(A40="","",IFERROR(INDEX('📋 ORDERS'!$S$4:$S$675,MATCH(VALUE(A40),IFERROR(VALUE('📋 ORDERS'!$Q$4:$Q$675),0),0)),""))</f>
        <v/>
      </c>
      <c r="H40" s="183" t="str">
        <f>IF(A40="","",IFERROR(INDEX('📋 ORDERS'!$W$4:$W$675,MATCH(VALUE(A40),IFERROR(VALUE('📋 ORDERS'!$Q$4:$Q$675),0),0)),""))</f>
        <v/>
      </c>
      <c r="I40" s="182" t="str">
        <f>IF(A40="","",IFERROR(INDEX('📋 ORDERS'!$Y$4:$Y$675,MATCH(VALUE(A40),IFERROR(VALUE('📋 ORDERS'!$Q$4:$Q$675),0),0)),""))</f>
        <v/>
      </c>
      <c r="J40" s="183" t="str">
        <f>IF(A40="","",IFERROR(INDEX('📋 ORDERS'!$Y$4:$Y$675,MATCH(VALUE(A40),IFERROR(VALUE('📋 ORDERS'!$Q$4:$Q$675),0),0)),""))</f>
        <v/>
      </c>
    </row>
    <row r="41" spans="1:10" ht="19.5" customHeight="1" x14ac:dyDescent="0.35">
      <c r="A41" s="184"/>
      <c r="B41" s="185" t="str">
        <f>IF(A41="","",SUMPRODUCT((IFERROR(VALUE('📋 ORDERS'!$Q$4:$Q$675),0)=VALUE(A41))*1))</f>
        <v/>
      </c>
      <c r="C41" s="185" t="str">
        <f>IF(A41="","",IFERROR(INDEX('📋 ORDERS'!$D$4:$D$675,MATCH(VALUE(A41),IFERROR(VALUE('📋 ORDERS'!$Q$4:$Q$675),0),0)),""))</f>
        <v/>
      </c>
      <c r="D41" s="185" t="str">
        <f>IF(A41="","",IFERROR(INDEX('📋 ORDERS'!$E$4:$E$675,MATCH(VALUE(A41),IFERROR(VALUE('📋 ORDERS'!$Q$4:$Q$675),0),0)),""))</f>
        <v/>
      </c>
      <c r="E41" s="186" t="str">
        <f>IF(A41="","",SUMPRODUCT((IFERROR(VALUE('📋 ORDERS'!$Q$4:$Q$675),0)=VALUE(A41))*IFERROR('📋 ORDERS'!$P$4:$P$675,0)))</f>
        <v/>
      </c>
      <c r="F41" s="185" t="str">
        <f>IF(A41="","",IFERROR(INDEX('📋 ORDERS'!$R$4:$R$675,MATCH(VALUE(A41),IFERROR(VALUE('📋 ORDERS'!$Q$4:$Q$675),0),0)),""))</f>
        <v/>
      </c>
      <c r="G41" s="185" t="str">
        <f>IF(A41="","",IFERROR(INDEX('📋 ORDERS'!$S$4:$S$675,MATCH(VALUE(A41),IFERROR(VALUE('📋 ORDERS'!$Q$4:$Q$675),0),0)),""))</f>
        <v/>
      </c>
      <c r="H41" s="187" t="str">
        <f>IF(A41="","",IFERROR(INDEX('📋 ORDERS'!$W$4:$W$675,MATCH(VALUE(A41),IFERROR(VALUE('📋 ORDERS'!$Q$4:$Q$675),0),0)),""))</f>
        <v/>
      </c>
      <c r="I41" s="185" t="str">
        <f>IF(A41="","",IFERROR(INDEX('📋 ORDERS'!$Y$4:$Y$675,MATCH(VALUE(A41),IFERROR(VALUE('📋 ORDERS'!$Q$4:$Q$675),0),0)),""))</f>
        <v/>
      </c>
      <c r="J41" s="187" t="str">
        <f>IF(A41="","",IFERROR(INDEX('📋 ORDERS'!$Y$4:$Y$675,MATCH(VALUE(A41),IFERROR(VALUE('📋 ORDERS'!$Q$4:$Q$675),0),0)),""))</f>
        <v/>
      </c>
    </row>
    <row r="42" spans="1:10" ht="19.5" customHeight="1" x14ac:dyDescent="0.35">
      <c r="A42" s="180"/>
      <c r="B42" s="182" t="str">
        <f>IF(A42="","",SUMPRODUCT((IFERROR(VALUE('📋 ORDERS'!$Q$4:$Q$675),0)=VALUE(A42))*1))</f>
        <v/>
      </c>
      <c r="C42" s="182" t="str">
        <f>IF(A42="","",IFERROR(INDEX('📋 ORDERS'!$D$4:$D$675,MATCH(VALUE(A42),IFERROR(VALUE('📋 ORDERS'!$Q$4:$Q$675),0),0)),""))</f>
        <v/>
      </c>
      <c r="D42" s="182" t="str">
        <f>IF(A42="","",IFERROR(INDEX('📋 ORDERS'!$E$4:$E$675,MATCH(VALUE(A42),IFERROR(VALUE('📋 ORDERS'!$Q$4:$Q$675),0),0)),""))</f>
        <v/>
      </c>
      <c r="E42" s="181" t="str">
        <f>IF(A42="","",SUMPRODUCT((IFERROR(VALUE('📋 ORDERS'!$Q$4:$Q$675),0)=VALUE(A42))*IFERROR('📋 ORDERS'!$P$4:$P$675,0)))</f>
        <v/>
      </c>
      <c r="F42" s="182" t="str">
        <f>IF(A42="","",IFERROR(INDEX('📋 ORDERS'!$R$4:$R$675,MATCH(VALUE(A42),IFERROR(VALUE('📋 ORDERS'!$Q$4:$Q$675),0),0)),""))</f>
        <v/>
      </c>
      <c r="G42" s="182" t="str">
        <f>IF(A42="","",IFERROR(INDEX('📋 ORDERS'!$S$4:$S$675,MATCH(VALUE(A42),IFERROR(VALUE('📋 ORDERS'!$Q$4:$Q$675),0),0)),""))</f>
        <v/>
      </c>
      <c r="H42" s="183" t="str">
        <f>IF(A42="","",IFERROR(INDEX('📋 ORDERS'!$W$4:$W$675,MATCH(VALUE(A42),IFERROR(VALUE('📋 ORDERS'!$Q$4:$Q$675),0),0)),""))</f>
        <v/>
      </c>
      <c r="I42" s="182" t="str">
        <f>IF(A42="","",IFERROR(INDEX('📋 ORDERS'!$Y$4:$Y$675,MATCH(VALUE(A42),IFERROR(VALUE('📋 ORDERS'!$Q$4:$Q$675),0),0)),""))</f>
        <v/>
      </c>
      <c r="J42" s="183" t="str">
        <f>IF(A42="","",IFERROR(INDEX('📋 ORDERS'!$Y$4:$Y$675,MATCH(VALUE(A42),IFERROR(VALUE('📋 ORDERS'!$Q$4:$Q$675),0),0)),""))</f>
        <v/>
      </c>
    </row>
    <row r="43" spans="1:10" ht="19.5" customHeight="1" x14ac:dyDescent="0.35">
      <c r="A43" s="184"/>
      <c r="B43" s="185" t="str">
        <f>IF(A43="","",SUMPRODUCT((IFERROR(VALUE('📋 ORDERS'!$Q$4:$Q$675),0)=VALUE(A43))*1))</f>
        <v/>
      </c>
      <c r="C43" s="185" t="str">
        <f>IF(A43="","",IFERROR(INDEX('📋 ORDERS'!$D$4:$D$675,MATCH(VALUE(A43),IFERROR(VALUE('📋 ORDERS'!$Q$4:$Q$675),0),0)),""))</f>
        <v/>
      </c>
      <c r="D43" s="185" t="str">
        <f>IF(A43="","",IFERROR(INDEX('📋 ORDERS'!$E$4:$E$675,MATCH(VALUE(A43),IFERROR(VALUE('📋 ORDERS'!$Q$4:$Q$675),0),0)),""))</f>
        <v/>
      </c>
      <c r="E43" s="186" t="str">
        <f>IF(A43="","",SUMPRODUCT((IFERROR(VALUE('📋 ORDERS'!$Q$4:$Q$675),0)=VALUE(A43))*IFERROR('📋 ORDERS'!$P$4:$P$675,0)))</f>
        <v/>
      </c>
      <c r="F43" s="185" t="str">
        <f>IF(A43="","",IFERROR(INDEX('📋 ORDERS'!$R$4:$R$675,MATCH(VALUE(A43),IFERROR(VALUE('📋 ORDERS'!$Q$4:$Q$675),0),0)),""))</f>
        <v/>
      </c>
      <c r="G43" s="185" t="str">
        <f>IF(A43="","",IFERROR(INDEX('📋 ORDERS'!$S$4:$S$675,MATCH(VALUE(A43),IFERROR(VALUE('📋 ORDERS'!$Q$4:$Q$675),0),0)),""))</f>
        <v/>
      </c>
      <c r="H43" s="187" t="str">
        <f>IF(A43="","",IFERROR(INDEX('📋 ORDERS'!$W$4:$W$675,MATCH(VALUE(A43),IFERROR(VALUE('📋 ORDERS'!$Q$4:$Q$675),0),0)),""))</f>
        <v/>
      </c>
      <c r="I43" s="185" t="str">
        <f>IF(A43="","",IFERROR(INDEX('📋 ORDERS'!$Y$4:$Y$675,MATCH(VALUE(A43),IFERROR(VALUE('📋 ORDERS'!$Q$4:$Q$675),0),0)),""))</f>
        <v/>
      </c>
      <c r="J43" s="187" t="str">
        <f>IF(A43="","",IFERROR(INDEX('📋 ORDERS'!$Y$4:$Y$675,MATCH(VALUE(A43),IFERROR(VALUE('📋 ORDERS'!$Q$4:$Q$675),0),0)),""))</f>
        <v/>
      </c>
    </row>
    <row r="44" spans="1:10" ht="19.5" customHeight="1" x14ac:dyDescent="0.35">
      <c r="A44" s="180"/>
      <c r="B44" s="182" t="str">
        <f>IF(A44="","",SUMPRODUCT((IFERROR(VALUE('📋 ORDERS'!$Q$4:$Q$675),0)=VALUE(A44))*1))</f>
        <v/>
      </c>
      <c r="C44" s="182" t="str">
        <f>IF(A44="","",IFERROR(INDEX('📋 ORDERS'!$D$4:$D$675,MATCH(VALUE(A44),IFERROR(VALUE('📋 ORDERS'!$Q$4:$Q$675),0),0)),""))</f>
        <v/>
      </c>
      <c r="D44" s="182" t="str">
        <f>IF(A44="","",IFERROR(INDEX('📋 ORDERS'!$E$4:$E$675,MATCH(VALUE(A44),IFERROR(VALUE('📋 ORDERS'!$Q$4:$Q$675),0),0)),""))</f>
        <v/>
      </c>
      <c r="E44" s="181" t="str">
        <f>IF(A44="","",SUMPRODUCT((IFERROR(VALUE('📋 ORDERS'!$Q$4:$Q$675),0)=VALUE(A44))*IFERROR('📋 ORDERS'!$P$4:$P$675,0)))</f>
        <v/>
      </c>
      <c r="F44" s="182" t="str">
        <f>IF(A44="","",IFERROR(INDEX('📋 ORDERS'!$R$4:$R$675,MATCH(VALUE(A44),IFERROR(VALUE('📋 ORDERS'!$Q$4:$Q$675),0),0)),""))</f>
        <v/>
      </c>
      <c r="G44" s="182" t="str">
        <f>IF(A44="","",IFERROR(INDEX('📋 ORDERS'!$S$4:$S$675,MATCH(VALUE(A44),IFERROR(VALUE('📋 ORDERS'!$Q$4:$Q$675),0),0)),""))</f>
        <v/>
      </c>
      <c r="H44" s="183" t="str">
        <f>IF(A44="","",IFERROR(INDEX('📋 ORDERS'!$W$4:$W$675,MATCH(VALUE(A44),IFERROR(VALUE('📋 ORDERS'!$Q$4:$Q$675),0),0)),""))</f>
        <v/>
      </c>
      <c r="I44" s="182" t="str">
        <f>IF(A44="","",IFERROR(INDEX('📋 ORDERS'!$Y$4:$Y$675,MATCH(VALUE(A44),IFERROR(VALUE('📋 ORDERS'!$Q$4:$Q$675),0),0)),""))</f>
        <v/>
      </c>
      <c r="J44" s="183" t="str">
        <f>IF(A44="","",IFERROR(INDEX('📋 ORDERS'!$Y$4:$Y$675,MATCH(VALUE(A44),IFERROR(VALUE('📋 ORDERS'!$Q$4:$Q$675),0),0)),""))</f>
        <v/>
      </c>
    </row>
    <row r="45" spans="1:10" ht="19.5" customHeight="1" x14ac:dyDescent="0.35">
      <c r="A45" s="184"/>
      <c r="B45" s="185" t="str">
        <f>IF(A45="","",SUMPRODUCT((IFERROR(VALUE('📋 ORDERS'!$Q$4:$Q$675),0)=VALUE(A45))*1))</f>
        <v/>
      </c>
      <c r="C45" s="185" t="str">
        <f>IF(A45="","",IFERROR(INDEX('📋 ORDERS'!$D$4:$D$675,MATCH(VALUE(A45),IFERROR(VALUE('📋 ORDERS'!$Q$4:$Q$675),0),0)),""))</f>
        <v/>
      </c>
      <c r="D45" s="185" t="str">
        <f>IF(A45="","",IFERROR(INDEX('📋 ORDERS'!$E$4:$E$675,MATCH(VALUE(A45),IFERROR(VALUE('📋 ORDERS'!$Q$4:$Q$675),0),0)),""))</f>
        <v/>
      </c>
      <c r="E45" s="186" t="str">
        <f>IF(A45="","",SUMPRODUCT((IFERROR(VALUE('📋 ORDERS'!$Q$4:$Q$675),0)=VALUE(A45))*IFERROR('📋 ORDERS'!$P$4:$P$675,0)))</f>
        <v/>
      </c>
      <c r="F45" s="185" t="str">
        <f>IF(A45="","",IFERROR(INDEX('📋 ORDERS'!$R$4:$R$675,MATCH(VALUE(A45),IFERROR(VALUE('📋 ORDERS'!$Q$4:$Q$675),0),0)),""))</f>
        <v/>
      </c>
      <c r="G45" s="185" t="str">
        <f>IF(A45="","",IFERROR(INDEX('📋 ORDERS'!$S$4:$S$675,MATCH(VALUE(A45),IFERROR(VALUE('📋 ORDERS'!$Q$4:$Q$675),0),0)),""))</f>
        <v/>
      </c>
      <c r="H45" s="187" t="str">
        <f>IF(A45="","",IFERROR(INDEX('📋 ORDERS'!$W$4:$W$675,MATCH(VALUE(A45),IFERROR(VALUE('📋 ORDERS'!$Q$4:$Q$675),0),0)),""))</f>
        <v/>
      </c>
      <c r="I45" s="185" t="str">
        <f>IF(A45="","",IFERROR(INDEX('📋 ORDERS'!$Y$4:$Y$675,MATCH(VALUE(A45),IFERROR(VALUE('📋 ORDERS'!$Q$4:$Q$675),0),0)),""))</f>
        <v/>
      </c>
      <c r="J45" s="187" t="str">
        <f>IF(A45="","",IFERROR(INDEX('📋 ORDERS'!$Y$4:$Y$675,MATCH(VALUE(A45),IFERROR(VALUE('📋 ORDERS'!$Q$4:$Q$675),0),0)),""))</f>
        <v/>
      </c>
    </row>
    <row r="46" spans="1:10" ht="19.5" customHeight="1" x14ac:dyDescent="0.35">
      <c r="A46" s="180"/>
      <c r="B46" s="182" t="str">
        <f>IF(A46="","",SUMPRODUCT((IFERROR(VALUE('📋 ORDERS'!$Q$4:$Q$675),0)=VALUE(A46))*1))</f>
        <v/>
      </c>
      <c r="C46" s="182" t="str">
        <f>IF(A46="","",IFERROR(INDEX('📋 ORDERS'!$D$4:$D$675,MATCH(VALUE(A46),IFERROR(VALUE('📋 ORDERS'!$Q$4:$Q$675),0),0)),""))</f>
        <v/>
      </c>
      <c r="D46" s="182" t="str">
        <f>IF(A46="","",IFERROR(INDEX('📋 ORDERS'!$E$4:$E$675,MATCH(VALUE(A46),IFERROR(VALUE('📋 ORDERS'!$Q$4:$Q$675),0),0)),""))</f>
        <v/>
      </c>
      <c r="E46" s="181" t="str">
        <f>IF(A46="","",SUMPRODUCT((IFERROR(VALUE('📋 ORDERS'!$Q$4:$Q$675),0)=VALUE(A46))*IFERROR('📋 ORDERS'!$P$4:$P$675,0)))</f>
        <v/>
      </c>
      <c r="F46" s="182" t="str">
        <f>IF(A46="","",IFERROR(INDEX('📋 ORDERS'!$R$4:$R$675,MATCH(VALUE(A46),IFERROR(VALUE('📋 ORDERS'!$Q$4:$Q$675),0),0)),""))</f>
        <v/>
      </c>
      <c r="G46" s="182" t="str">
        <f>IF(A46="","",IFERROR(INDEX('📋 ORDERS'!$S$4:$S$675,MATCH(VALUE(A46),IFERROR(VALUE('📋 ORDERS'!$Q$4:$Q$675),0),0)),""))</f>
        <v/>
      </c>
      <c r="H46" s="183" t="str">
        <f>IF(A46="","",IFERROR(INDEX('📋 ORDERS'!$W$4:$W$675,MATCH(VALUE(A46),IFERROR(VALUE('📋 ORDERS'!$Q$4:$Q$675),0),0)),""))</f>
        <v/>
      </c>
      <c r="I46" s="182" t="str">
        <f>IF(A46="","",IFERROR(INDEX('📋 ORDERS'!$Y$4:$Y$675,MATCH(VALUE(A46),IFERROR(VALUE('📋 ORDERS'!$Q$4:$Q$675),0),0)),""))</f>
        <v/>
      </c>
      <c r="J46" s="183" t="str">
        <f>IF(A46="","",IFERROR(INDEX('📋 ORDERS'!$Y$4:$Y$675,MATCH(VALUE(A46),IFERROR(VALUE('📋 ORDERS'!$Q$4:$Q$675),0),0)),""))</f>
        <v/>
      </c>
    </row>
    <row r="47" spans="1:10" ht="19.5" customHeight="1" x14ac:dyDescent="0.35">
      <c r="A47" s="184"/>
      <c r="B47" s="185" t="str">
        <f>IF(A47="","",SUMPRODUCT((IFERROR(VALUE('📋 ORDERS'!$Q$4:$Q$675),0)=VALUE(A47))*1))</f>
        <v/>
      </c>
      <c r="C47" s="185" t="str">
        <f>IF(A47="","",IFERROR(INDEX('📋 ORDERS'!$D$4:$D$675,MATCH(VALUE(A47),IFERROR(VALUE('📋 ORDERS'!$Q$4:$Q$675),0),0)),""))</f>
        <v/>
      </c>
      <c r="D47" s="185" t="str">
        <f>IF(A47="","",IFERROR(INDEX('📋 ORDERS'!$E$4:$E$675,MATCH(VALUE(A47),IFERROR(VALUE('📋 ORDERS'!$Q$4:$Q$675),0),0)),""))</f>
        <v/>
      </c>
      <c r="E47" s="186" t="str">
        <f>IF(A47="","",SUMPRODUCT((IFERROR(VALUE('📋 ORDERS'!$Q$4:$Q$675),0)=VALUE(A47))*IFERROR('📋 ORDERS'!$P$4:$P$675,0)))</f>
        <v/>
      </c>
      <c r="F47" s="185" t="str">
        <f>IF(A47="","",IFERROR(INDEX('📋 ORDERS'!$R$4:$R$675,MATCH(VALUE(A47),IFERROR(VALUE('📋 ORDERS'!$Q$4:$Q$675),0),0)),""))</f>
        <v/>
      </c>
      <c r="G47" s="185" t="str">
        <f>IF(A47="","",IFERROR(INDEX('📋 ORDERS'!$S$4:$S$675,MATCH(VALUE(A47),IFERROR(VALUE('📋 ORDERS'!$Q$4:$Q$675),0),0)),""))</f>
        <v/>
      </c>
      <c r="H47" s="187" t="str">
        <f>IF(A47="","",IFERROR(INDEX('📋 ORDERS'!$W$4:$W$675,MATCH(VALUE(A47),IFERROR(VALUE('📋 ORDERS'!$Q$4:$Q$675),0),0)),""))</f>
        <v/>
      </c>
      <c r="I47" s="185" t="str">
        <f>IF(A47="","",IFERROR(INDEX('📋 ORDERS'!$Y$4:$Y$675,MATCH(VALUE(A47),IFERROR(VALUE('📋 ORDERS'!$Q$4:$Q$675),0),0)),""))</f>
        <v/>
      </c>
      <c r="J47" s="187" t="str">
        <f>IF(A47="","",IFERROR(INDEX('📋 ORDERS'!$Y$4:$Y$675,MATCH(VALUE(A47),IFERROR(VALUE('📋 ORDERS'!$Q$4:$Q$675),0),0)),""))</f>
        <v/>
      </c>
    </row>
    <row r="48" spans="1:10" ht="19.5" customHeight="1" x14ac:dyDescent="0.35">
      <c r="A48" s="180"/>
      <c r="B48" s="182" t="str">
        <f>IF(A48="","",SUMPRODUCT((IFERROR(VALUE('📋 ORDERS'!$Q$4:$Q$675),0)=VALUE(A48))*1))</f>
        <v/>
      </c>
      <c r="C48" s="182" t="str">
        <f>IF(A48="","",IFERROR(INDEX('📋 ORDERS'!$D$4:$D$675,MATCH(VALUE(A48),IFERROR(VALUE('📋 ORDERS'!$Q$4:$Q$675),0),0)),""))</f>
        <v/>
      </c>
      <c r="D48" s="182" t="str">
        <f>IF(A48="","",IFERROR(INDEX('📋 ORDERS'!$E$4:$E$675,MATCH(VALUE(A48),IFERROR(VALUE('📋 ORDERS'!$Q$4:$Q$675),0),0)),""))</f>
        <v/>
      </c>
      <c r="E48" s="181" t="str">
        <f>IF(A48="","",SUMPRODUCT((IFERROR(VALUE('📋 ORDERS'!$Q$4:$Q$675),0)=VALUE(A48))*IFERROR('📋 ORDERS'!$P$4:$P$675,0)))</f>
        <v/>
      </c>
      <c r="F48" s="182" t="str">
        <f>IF(A48="","",IFERROR(INDEX('📋 ORDERS'!$R$4:$R$675,MATCH(VALUE(A48),IFERROR(VALUE('📋 ORDERS'!$Q$4:$Q$675),0),0)),""))</f>
        <v/>
      </c>
      <c r="G48" s="182" t="str">
        <f>IF(A48="","",IFERROR(INDEX('📋 ORDERS'!$S$4:$S$675,MATCH(VALUE(A48),IFERROR(VALUE('📋 ORDERS'!$Q$4:$Q$675),0),0)),""))</f>
        <v/>
      </c>
      <c r="H48" s="183" t="str">
        <f>IF(A48="","",IFERROR(INDEX('📋 ORDERS'!$W$4:$W$675,MATCH(VALUE(A48),IFERROR(VALUE('📋 ORDERS'!$Q$4:$Q$675),0),0)),""))</f>
        <v/>
      </c>
      <c r="I48" s="182" t="str">
        <f>IF(A48="","",IFERROR(INDEX('📋 ORDERS'!$Y$4:$Y$675,MATCH(VALUE(A48),IFERROR(VALUE('📋 ORDERS'!$Q$4:$Q$675),0),0)),""))</f>
        <v/>
      </c>
      <c r="J48" s="183" t="str">
        <f>IF(A48="","",IFERROR(INDEX('📋 ORDERS'!$Y$4:$Y$675,MATCH(VALUE(A48),IFERROR(VALUE('📋 ORDERS'!$Q$4:$Q$675),0),0)),""))</f>
        <v/>
      </c>
    </row>
    <row r="49" spans="1:10" ht="19.5" customHeight="1" x14ac:dyDescent="0.35">
      <c r="A49" s="184"/>
      <c r="B49" s="185" t="str">
        <f>IF(A49="","",SUMPRODUCT((IFERROR(VALUE('📋 ORDERS'!$Q$4:$Q$675),0)=VALUE(A49))*1))</f>
        <v/>
      </c>
      <c r="C49" s="185" t="str">
        <f>IF(A49="","",IFERROR(INDEX('📋 ORDERS'!$D$4:$D$675,MATCH(VALUE(A49),IFERROR(VALUE('📋 ORDERS'!$Q$4:$Q$675),0),0)),""))</f>
        <v/>
      </c>
      <c r="D49" s="185" t="str">
        <f>IF(A49="","",IFERROR(INDEX('📋 ORDERS'!$E$4:$E$675,MATCH(VALUE(A49),IFERROR(VALUE('📋 ORDERS'!$Q$4:$Q$675),0),0)),""))</f>
        <v/>
      </c>
      <c r="E49" s="186" t="str">
        <f>IF(A49="","",SUMPRODUCT((IFERROR(VALUE('📋 ORDERS'!$Q$4:$Q$675),0)=VALUE(A49))*IFERROR('📋 ORDERS'!$P$4:$P$675,0)))</f>
        <v/>
      </c>
      <c r="F49" s="185" t="str">
        <f>IF(A49="","",IFERROR(INDEX('📋 ORDERS'!$R$4:$R$675,MATCH(VALUE(A49),IFERROR(VALUE('📋 ORDERS'!$Q$4:$Q$675),0),0)),""))</f>
        <v/>
      </c>
      <c r="G49" s="185" t="str">
        <f>IF(A49="","",IFERROR(INDEX('📋 ORDERS'!$S$4:$S$675,MATCH(VALUE(A49),IFERROR(VALUE('📋 ORDERS'!$Q$4:$Q$675),0),0)),""))</f>
        <v/>
      </c>
      <c r="H49" s="187" t="str">
        <f>IF(A49="","",IFERROR(INDEX('📋 ORDERS'!$W$4:$W$675,MATCH(VALUE(A49),IFERROR(VALUE('📋 ORDERS'!$Q$4:$Q$675),0),0)),""))</f>
        <v/>
      </c>
      <c r="I49" s="185" t="str">
        <f>IF(A49="","",IFERROR(INDEX('📋 ORDERS'!$Y$4:$Y$675,MATCH(VALUE(A49),IFERROR(VALUE('📋 ORDERS'!$Q$4:$Q$675),0),0)),""))</f>
        <v/>
      </c>
      <c r="J49" s="187" t="str">
        <f>IF(A49="","",IFERROR(INDEX('📋 ORDERS'!$Y$4:$Y$675,MATCH(VALUE(A49),IFERROR(VALUE('📋 ORDERS'!$Q$4:$Q$675),0),0)),""))</f>
        <v/>
      </c>
    </row>
    <row r="50" spans="1:10" ht="19.5" customHeight="1" x14ac:dyDescent="0.35">
      <c r="A50" s="180"/>
      <c r="B50" s="182" t="str">
        <f>IF(A50="","",SUMPRODUCT((IFERROR(VALUE('📋 ORDERS'!$Q$4:$Q$675),0)=VALUE(A50))*1))</f>
        <v/>
      </c>
      <c r="C50" s="182" t="str">
        <f>IF(A50="","",IFERROR(INDEX('📋 ORDERS'!$D$4:$D$675,MATCH(VALUE(A50),IFERROR(VALUE('📋 ORDERS'!$Q$4:$Q$675),0),0)),""))</f>
        <v/>
      </c>
      <c r="D50" s="182" t="str">
        <f>IF(A50="","",IFERROR(INDEX('📋 ORDERS'!$E$4:$E$675,MATCH(VALUE(A50),IFERROR(VALUE('📋 ORDERS'!$Q$4:$Q$675),0),0)),""))</f>
        <v/>
      </c>
      <c r="E50" s="181" t="str">
        <f>IF(A50="","",SUMPRODUCT((IFERROR(VALUE('📋 ORDERS'!$Q$4:$Q$675),0)=VALUE(A50))*IFERROR('📋 ORDERS'!$P$4:$P$675,0)))</f>
        <v/>
      </c>
      <c r="F50" s="182" t="str">
        <f>IF(A50="","",IFERROR(INDEX('📋 ORDERS'!$R$4:$R$675,MATCH(VALUE(A50),IFERROR(VALUE('📋 ORDERS'!$Q$4:$Q$675),0),0)),""))</f>
        <v/>
      </c>
      <c r="G50" s="182" t="str">
        <f>IF(A50="","",IFERROR(INDEX('📋 ORDERS'!$S$4:$S$675,MATCH(VALUE(A50),IFERROR(VALUE('📋 ORDERS'!$Q$4:$Q$675),0),0)),""))</f>
        <v/>
      </c>
      <c r="H50" s="183" t="str">
        <f>IF(A50="","",IFERROR(INDEX('📋 ORDERS'!$W$4:$W$675,MATCH(VALUE(A50),IFERROR(VALUE('📋 ORDERS'!$Q$4:$Q$675),0),0)),""))</f>
        <v/>
      </c>
      <c r="I50" s="182" t="str">
        <f>IF(A50="","",IFERROR(INDEX('📋 ORDERS'!$Y$4:$Y$675,MATCH(VALUE(A50),IFERROR(VALUE('📋 ORDERS'!$Q$4:$Q$675),0),0)),""))</f>
        <v/>
      </c>
      <c r="J50" s="183" t="str">
        <f>IF(A50="","",IFERROR(INDEX('📋 ORDERS'!$Y$4:$Y$675,MATCH(VALUE(A50),IFERROR(VALUE('📋 ORDERS'!$Q$4:$Q$675),0),0)),""))</f>
        <v/>
      </c>
    </row>
    <row r="51" spans="1:10" ht="19.5" customHeight="1" x14ac:dyDescent="0.35">
      <c r="A51" s="184"/>
      <c r="B51" s="185" t="str">
        <f>IF(A51="","",SUMPRODUCT((IFERROR(VALUE('📋 ORDERS'!$Q$4:$Q$675),0)=VALUE(A51))*1))</f>
        <v/>
      </c>
      <c r="C51" s="185" t="str">
        <f>IF(A51="","",IFERROR(INDEX('📋 ORDERS'!$D$4:$D$675,MATCH(VALUE(A51),IFERROR(VALUE('📋 ORDERS'!$Q$4:$Q$675),0),0)),""))</f>
        <v/>
      </c>
      <c r="D51" s="185" t="str">
        <f>IF(A51="","",IFERROR(INDEX('📋 ORDERS'!$E$4:$E$675,MATCH(VALUE(A51),IFERROR(VALUE('📋 ORDERS'!$Q$4:$Q$675),0),0)),""))</f>
        <v/>
      </c>
      <c r="E51" s="186" t="str">
        <f>IF(A51="","",SUMPRODUCT((IFERROR(VALUE('📋 ORDERS'!$Q$4:$Q$675),0)=VALUE(A51))*IFERROR('📋 ORDERS'!$P$4:$P$675,0)))</f>
        <v/>
      </c>
      <c r="F51" s="185" t="str">
        <f>IF(A51="","",IFERROR(INDEX('📋 ORDERS'!$R$4:$R$675,MATCH(VALUE(A51),IFERROR(VALUE('📋 ORDERS'!$Q$4:$Q$675),0),0)),""))</f>
        <v/>
      </c>
      <c r="G51" s="185" t="str">
        <f>IF(A51="","",IFERROR(INDEX('📋 ORDERS'!$S$4:$S$675,MATCH(VALUE(A51),IFERROR(VALUE('📋 ORDERS'!$Q$4:$Q$675),0),0)),""))</f>
        <v/>
      </c>
      <c r="H51" s="187" t="str">
        <f>IF(A51="","",IFERROR(INDEX('📋 ORDERS'!$W$4:$W$675,MATCH(VALUE(A51),IFERROR(VALUE('📋 ORDERS'!$Q$4:$Q$675),0),0)),""))</f>
        <v/>
      </c>
      <c r="I51" s="185" t="str">
        <f>IF(A51="","",IFERROR(INDEX('📋 ORDERS'!$Y$4:$Y$675,MATCH(VALUE(A51),IFERROR(VALUE('📋 ORDERS'!$Q$4:$Q$675),0),0)),""))</f>
        <v/>
      </c>
      <c r="J51" s="187" t="str">
        <f>IF(A51="","",IFERROR(INDEX('📋 ORDERS'!$Y$4:$Y$675,MATCH(VALUE(A51),IFERROR(VALUE('📋 ORDERS'!$Q$4:$Q$675),0),0)),""))</f>
        <v/>
      </c>
    </row>
    <row r="52" spans="1:10" ht="19.5" customHeight="1" x14ac:dyDescent="0.35">
      <c r="A52" s="180"/>
      <c r="B52" s="182" t="str">
        <f>IF(A52="","",SUMPRODUCT((IFERROR(VALUE('📋 ORDERS'!$Q$4:$Q$675),0)=VALUE(A52))*1))</f>
        <v/>
      </c>
      <c r="C52" s="182" t="str">
        <f>IF(A52="","",IFERROR(INDEX('📋 ORDERS'!$D$4:$D$675,MATCH(VALUE(A52),IFERROR(VALUE('📋 ORDERS'!$Q$4:$Q$675),0),0)),""))</f>
        <v/>
      </c>
      <c r="D52" s="182" t="str">
        <f>IF(A52="","",IFERROR(INDEX('📋 ORDERS'!$E$4:$E$675,MATCH(VALUE(A52),IFERROR(VALUE('📋 ORDERS'!$Q$4:$Q$675),0),0)),""))</f>
        <v/>
      </c>
      <c r="E52" s="181" t="str">
        <f>IF(A52="","",SUMPRODUCT((IFERROR(VALUE('📋 ORDERS'!$Q$4:$Q$675),0)=VALUE(A52))*IFERROR('📋 ORDERS'!$P$4:$P$675,0)))</f>
        <v/>
      </c>
      <c r="F52" s="182" t="str">
        <f>IF(A52="","",IFERROR(INDEX('📋 ORDERS'!$R$4:$R$675,MATCH(VALUE(A52),IFERROR(VALUE('📋 ORDERS'!$Q$4:$Q$675),0),0)),""))</f>
        <v/>
      </c>
      <c r="G52" s="182" t="str">
        <f>IF(A52="","",IFERROR(INDEX('📋 ORDERS'!$S$4:$S$675,MATCH(VALUE(A52),IFERROR(VALUE('📋 ORDERS'!$Q$4:$Q$675),0),0)),""))</f>
        <v/>
      </c>
      <c r="H52" s="183" t="str">
        <f>IF(A52="","",IFERROR(INDEX('📋 ORDERS'!$W$4:$W$675,MATCH(VALUE(A52),IFERROR(VALUE('📋 ORDERS'!$Q$4:$Q$675),0),0)),""))</f>
        <v/>
      </c>
      <c r="I52" s="182" t="str">
        <f>IF(A52="","",IFERROR(INDEX('📋 ORDERS'!$Y$4:$Y$675,MATCH(VALUE(A52),IFERROR(VALUE('📋 ORDERS'!$Q$4:$Q$675),0),0)),""))</f>
        <v/>
      </c>
      <c r="J52" s="183" t="str">
        <f>IF(A52="","",IFERROR(INDEX('📋 ORDERS'!$Y$4:$Y$675,MATCH(VALUE(A52),IFERROR(VALUE('📋 ORDERS'!$Q$4:$Q$675),0),0)),""))</f>
        <v/>
      </c>
    </row>
    <row r="53" spans="1:10" ht="19.5" customHeight="1" x14ac:dyDescent="0.35">
      <c r="A53" s="184"/>
      <c r="B53" s="185" t="str">
        <f>IF(A53="","",SUMPRODUCT((IFERROR(VALUE('📋 ORDERS'!$Q$4:$Q$675),0)=VALUE(A53))*1))</f>
        <v/>
      </c>
      <c r="C53" s="185" t="str">
        <f>IF(A53="","",IFERROR(INDEX('📋 ORDERS'!$D$4:$D$675,MATCH(VALUE(A53),IFERROR(VALUE('📋 ORDERS'!$Q$4:$Q$675),0),0)),""))</f>
        <v/>
      </c>
      <c r="D53" s="185" t="str">
        <f>IF(A53="","",IFERROR(INDEX('📋 ORDERS'!$E$4:$E$675,MATCH(VALUE(A53),IFERROR(VALUE('📋 ORDERS'!$Q$4:$Q$675),0),0)),""))</f>
        <v/>
      </c>
      <c r="E53" s="186" t="str">
        <f>IF(A53="","",SUMPRODUCT((IFERROR(VALUE('📋 ORDERS'!$Q$4:$Q$675),0)=VALUE(A53))*IFERROR('📋 ORDERS'!$P$4:$P$675,0)))</f>
        <v/>
      </c>
      <c r="F53" s="185" t="str">
        <f>IF(A53="","",IFERROR(INDEX('📋 ORDERS'!$R$4:$R$675,MATCH(VALUE(A53),IFERROR(VALUE('📋 ORDERS'!$Q$4:$Q$675),0),0)),""))</f>
        <v/>
      </c>
      <c r="G53" s="185" t="str">
        <f>IF(A53="","",IFERROR(INDEX('📋 ORDERS'!$S$4:$S$675,MATCH(VALUE(A53),IFERROR(VALUE('📋 ORDERS'!$Q$4:$Q$675),0),0)),""))</f>
        <v/>
      </c>
      <c r="H53" s="187" t="str">
        <f>IF(A53="","",IFERROR(INDEX('📋 ORDERS'!$W$4:$W$675,MATCH(VALUE(A53),IFERROR(VALUE('📋 ORDERS'!$Q$4:$Q$675),0),0)),""))</f>
        <v/>
      </c>
      <c r="I53" s="185" t="str">
        <f>IF(A53="","",IFERROR(INDEX('📋 ORDERS'!$Y$4:$Y$675,MATCH(VALUE(A53),IFERROR(VALUE('📋 ORDERS'!$Q$4:$Q$675),0),0)),""))</f>
        <v/>
      </c>
      <c r="J53" s="187" t="str">
        <f>IF(A53="","",IFERROR(INDEX('📋 ORDERS'!$Y$4:$Y$675,MATCH(VALUE(A53),IFERROR(VALUE('📋 ORDERS'!$Q$4:$Q$675),0),0)),""))</f>
        <v/>
      </c>
    </row>
    <row r="54" spans="1:10" ht="19.5" customHeight="1" x14ac:dyDescent="0.35">
      <c r="A54" s="180"/>
      <c r="B54" s="182" t="str">
        <f>IF(A54="","",SUMPRODUCT((IFERROR(VALUE('📋 ORDERS'!$Q$4:$Q$675),0)=VALUE(A54))*1))</f>
        <v/>
      </c>
      <c r="C54" s="182" t="str">
        <f>IF(A54="","",IFERROR(INDEX('📋 ORDERS'!$D$4:$D$675,MATCH(VALUE(A54),IFERROR(VALUE('📋 ORDERS'!$Q$4:$Q$675),0),0)),""))</f>
        <v/>
      </c>
      <c r="D54" s="182" t="str">
        <f>IF(A54="","",IFERROR(INDEX('📋 ORDERS'!$E$4:$E$675,MATCH(VALUE(A54),IFERROR(VALUE('📋 ORDERS'!$Q$4:$Q$675),0),0)),""))</f>
        <v/>
      </c>
      <c r="E54" s="181" t="str">
        <f>IF(A54="","",SUMPRODUCT((IFERROR(VALUE('📋 ORDERS'!$Q$4:$Q$675),0)=VALUE(A54))*IFERROR('📋 ORDERS'!$P$4:$P$675,0)))</f>
        <v/>
      </c>
      <c r="F54" s="182" t="str">
        <f>IF(A54="","",IFERROR(INDEX('📋 ORDERS'!$R$4:$R$675,MATCH(VALUE(A54),IFERROR(VALUE('📋 ORDERS'!$Q$4:$Q$675),0),0)),""))</f>
        <v/>
      </c>
      <c r="G54" s="182" t="str">
        <f>IF(A54="","",IFERROR(INDEX('📋 ORDERS'!$S$4:$S$675,MATCH(VALUE(A54),IFERROR(VALUE('📋 ORDERS'!$Q$4:$Q$675),0),0)),""))</f>
        <v/>
      </c>
      <c r="H54" s="183" t="str">
        <f>IF(A54="","",IFERROR(INDEX('📋 ORDERS'!$W$4:$W$675,MATCH(VALUE(A54),IFERROR(VALUE('📋 ORDERS'!$Q$4:$Q$675),0),0)),""))</f>
        <v/>
      </c>
      <c r="I54" s="182" t="str">
        <f>IF(A54="","",IFERROR(INDEX('📋 ORDERS'!$Y$4:$Y$675,MATCH(VALUE(A54),IFERROR(VALUE('📋 ORDERS'!$Q$4:$Q$675),0),0)),""))</f>
        <v/>
      </c>
      <c r="J54" s="183" t="str">
        <f>IF(A54="","",IFERROR(INDEX('📋 ORDERS'!$Y$4:$Y$675,MATCH(VALUE(A54),IFERROR(VALUE('📋 ORDERS'!$Q$4:$Q$675),0),0)),""))</f>
        <v/>
      </c>
    </row>
    <row r="55" spans="1:10" ht="19.5" customHeight="1" x14ac:dyDescent="0.35">
      <c r="A55" s="184"/>
      <c r="B55" s="185" t="str">
        <f>IF(A55="","",SUMPRODUCT((IFERROR(VALUE('📋 ORDERS'!$Q$4:$Q$675),0)=VALUE(A55))*1))</f>
        <v/>
      </c>
      <c r="C55" s="185" t="str">
        <f>IF(A55="","",IFERROR(INDEX('📋 ORDERS'!$D$4:$D$675,MATCH(VALUE(A55),IFERROR(VALUE('📋 ORDERS'!$Q$4:$Q$675),0),0)),""))</f>
        <v/>
      </c>
      <c r="D55" s="185" t="str">
        <f>IF(A55="","",IFERROR(INDEX('📋 ORDERS'!$E$4:$E$675,MATCH(VALUE(A55),IFERROR(VALUE('📋 ORDERS'!$Q$4:$Q$675),0),0)),""))</f>
        <v/>
      </c>
      <c r="E55" s="186" t="str">
        <f>IF(A55="","",SUMPRODUCT((IFERROR(VALUE('📋 ORDERS'!$Q$4:$Q$675),0)=VALUE(A55))*IFERROR('📋 ORDERS'!$P$4:$P$675,0)))</f>
        <v/>
      </c>
      <c r="F55" s="185" t="str">
        <f>IF(A55="","",IFERROR(INDEX('📋 ORDERS'!$R$4:$R$675,MATCH(VALUE(A55),IFERROR(VALUE('📋 ORDERS'!$Q$4:$Q$675),0),0)),""))</f>
        <v/>
      </c>
      <c r="G55" s="185" t="str">
        <f>IF(A55="","",IFERROR(INDEX('📋 ORDERS'!$S$4:$S$675,MATCH(VALUE(A55),IFERROR(VALUE('📋 ORDERS'!$Q$4:$Q$675),0),0)),""))</f>
        <v/>
      </c>
      <c r="H55" s="187" t="str">
        <f>IF(A55="","",IFERROR(INDEX('📋 ORDERS'!$W$4:$W$675,MATCH(VALUE(A55),IFERROR(VALUE('📋 ORDERS'!$Q$4:$Q$675),0),0)),""))</f>
        <v/>
      </c>
      <c r="I55" s="185" t="str">
        <f>IF(A55="","",IFERROR(INDEX('📋 ORDERS'!$Y$4:$Y$675,MATCH(VALUE(A55),IFERROR(VALUE('📋 ORDERS'!$Q$4:$Q$675),0),0)),""))</f>
        <v/>
      </c>
      <c r="J55" s="187" t="str">
        <f>IF(A55="","",IFERROR(INDEX('📋 ORDERS'!$Y$4:$Y$675,MATCH(VALUE(A55),IFERROR(VALUE('📋 ORDERS'!$Q$4:$Q$675),0),0)),""))</f>
        <v/>
      </c>
    </row>
    <row r="56" spans="1:10" ht="19.5" customHeight="1" x14ac:dyDescent="0.35">
      <c r="A56" s="180"/>
      <c r="B56" s="182" t="str">
        <f>IF(A56="","",SUMPRODUCT((IFERROR(VALUE('📋 ORDERS'!$Q$4:$Q$675),0)=VALUE(A56))*1))</f>
        <v/>
      </c>
      <c r="C56" s="182" t="str">
        <f>IF(A56="","",IFERROR(INDEX('📋 ORDERS'!$D$4:$D$675,MATCH(VALUE(A56),IFERROR(VALUE('📋 ORDERS'!$Q$4:$Q$675),0),0)),""))</f>
        <v/>
      </c>
      <c r="D56" s="182" t="str">
        <f>IF(A56="","",IFERROR(INDEX('📋 ORDERS'!$E$4:$E$675,MATCH(VALUE(A56),IFERROR(VALUE('📋 ORDERS'!$Q$4:$Q$675),0),0)),""))</f>
        <v/>
      </c>
      <c r="E56" s="181" t="str">
        <f>IF(A56="","",SUMPRODUCT((IFERROR(VALUE('📋 ORDERS'!$Q$4:$Q$675),0)=VALUE(A56))*IFERROR('📋 ORDERS'!$P$4:$P$675,0)))</f>
        <v/>
      </c>
      <c r="F56" s="182" t="str">
        <f>IF(A56="","",IFERROR(INDEX('📋 ORDERS'!$R$4:$R$675,MATCH(VALUE(A56),IFERROR(VALUE('📋 ORDERS'!$Q$4:$Q$675),0),0)),""))</f>
        <v/>
      </c>
      <c r="G56" s="182" t="str">
        <f>IF(A56="","",IFERROR(INDEX('📋 ORDERS'!$S$4:$S$675,MATCH(VALUE(A56),IFERROR(VALUE('📋 ORDERS'!$Q$4:$Q$675),0),0)),""))</f>
        <v/>
      </c>
      <c r="H56" s="183" t="str">
        <f>IF(A56="","",IFERROR(INDEX('📋 ORDERS'!$W$4:$W$675,MATCH(VALUE(A56),IFERROR(VALUE('📋 ORDERS'!$Q$4:$Q$675),0),0)),""))</f>
        <v/>
      </c>
      <c r="I56" s="182" t="str">
        <f>IF(A56="","",IFERROR(INDEX('📋 ORDERS'!$Y$4:$Y$675,MATCH(VALUE(A56),IFERROR(VALUE('📋 ORDERS'!$Q$4:$Q$675),0),0)),""))</f>
        <v/>
      </c>
      <c r="J56" s="183" t="str">
        <f>IF(A56="","",IFERROR(INDEX('📋 ORDERS'!$Y$4:$Y$675,MATCH(VALUE(A56),IFERROR(VALUE('📋 ORDERS'!$Q$4:$Q$675),0),0)),""))</f>
        <v/>
      </c>
    </row>
    <row r="57" spans="1:10" ht="19.5" customHeight="1" x14ac:dyDescent="0.35">
      <c r="A57" s="184"/>
      <c r="B57" s="185" t="str">
        <f>IF(A57="","",SUMPRODUCT((IFERROR(VALUE('📋 ORDERS'!$Q$4:$Q$675),0)=VALUE(A57))*1))</f>
        <v/>
      </c>
      <c r="C57" s="185" t="str">
        <f>IF(A57="","",IFERROR(INDEX('📋 ORDERS'!$D$4:$D$675,MATCH(VALUE(A57),IFERROR(VALUE('📋 ORDERS'!$Q$4:$Q$675),0),0)),""))</f>
        <v/>
      </c>
      <c r="D57" s="185" t="str">
        <f>IF(A57="","",IFERROR(INDEX('📋 ORDERS'!$E$4:$E$675,MATCH(VALUE(A57),IFERROR(VALUE('📋 ORDERS'!$Q$4:$Q$675),0),0)),""))</f>
        <v/>
      </c>
      <c r="E57" s="186" t="str">
        <f>IF(A57="","",SUMPRODUCT((IFERROR(VALUE('📋 ORDERS'!$Q$4:$Q$675),0)=VALUE(A57))*IFERROR('📋 ORDERS'!$P$4:$P$675,0)))</f>
        <v/>
      </c>
      <c r="F57" s="185" t="str">
        <f>IF(A57="","",IFERROR(INDEX('📋 ORDERS'!$R$4:$R$675,MATCH(VALUE(A57),IFERROR(VALUE('📋 ORDERS'!$Q$4:$Q$675),0),0)),""))</f>
        <v/>
      </c>
      <c r="G57" s="185" t="str">
        <f>IF(A57="","",IFERROR(INDEX('📋 ORDERS'!$S$4:$S$675,MATCH(VALUE(A57),IFERROR(VALUE('📋 ORDERS'!$Q$4:$Q$675),0),0)),""))</f>
        <v/>
      </c>
      <c r="H57" s="187" t="str">
        <f>IF(A57="","",IFERROR(INDEX('📋 ORDERS'!$W$4:$W$675,MATCH(VALUE(A57),IFERROR(VALUE('📋 ORDERS'!$Q$4:$Q$675),0),0)),""))</f>
        <v/>
      </c>
      <c r="I57" s="185" t="str">
        <f>IF(A57="","",IFERROR(INDEX('📋 ORDERS'!$Y$4:$Y$675,MATCH(VALUE(A57),IFERROR(VALUE('📋 ORDERS'!$Q$4:$Q$675),0),0)),""))</f>
        <v/>
      </c>
      <c r="J57" s="187" t="str">
        <f>IF(A57="","",IFERROR(INDEX('📋 ORDERS'!$Y$4:$Y$675,MATCH(VALUE(A57),IFERROR(VALUE('📋 ORDERS'!$Q$4:$Q$675),0),0)),""))</f>
        <v/>
      </c>
    </row>
    <row r="58" spans="1:10" ht="21.75" customHeight="1" x14ac:dyDescent="0.35">
      <c r="A58" s="277" t="s">
        <v>490</v>
      </c>
      <c r="B58" s="277"/>
      <c r="C58" s="277"/>
      <c r="D58" s="277"/>
      <c r="E58" s="188">
        <f>SUMIF(A4:A57,"&lt;&gt;",E4:E57)</f>
        <v>16077.77</v>
      </c>
      <c r="F58" s="189"/>
      <c r="G58" s="189"/>
      <c r="H58" s="189"/>
      <c r="I58" s="189"/>
      <c r="J58" s="189"/>
    </row>
  </sheetData>
  <mergeCells count="4">
    <mergeCell ref="A1:J1"/>
    <mergeCell ref="A2:J2"/>
    <mergeCell ref="A28:D28"/>
    <mergeCell ref="A58:D5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📋 SEND CLIENT</vt:lpstr>
      <vt:lpstr>📋 ORDERS</vt:lpstr>
      <vt:lpstr>🔍 LOOKUP</vt:lpstr>
      <vt:lpstr>📊 DASHBOARD</vt:lpstr>
      <vt:lpstr>📈 CHARTS</vt:lpstr>
      <vt:lpstr>🔄 STATUS CONTROL</vt:lpstr>
      <vt:lpstr>📅 MONTHLY</vt:lpstr>
      <vt:lpstr>📄 INVOICE CONTROL</vt:lpstr>
      <vt:lpstr>'📋 SEND CLIENT'!Area_de_impressao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Waldinei Silva</cp:lastModifiedBy>
  <cp:revision>13</cp:revision>
  <cp:lastPrinted>2026-06-05T09:58:08Z</cp:lastPrinted>
  <dcterms:created xsi:type="dcterms:W3CDTF">2026-06-02T09:36:49Z</dcterms:created>
  <dcterms:modified xsi:type="dcterms:W3CDTF">2026-06-23T14:15:13Z</dcterms:modified>
  <dc:language>en-US</dc:language>
</cp:coreProperties>
</file>